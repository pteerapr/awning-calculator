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drawings/drawing2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drawings/drawing3.xml" ContentType="application/vnd.openxmlformats-officedocument.drawing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drawings/drawing4.xml" ContentType="application/vnd.openxmlformats-officedocument.drawing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\fabric calculation\"/>
    </mc:Choice>
  </mc:AlternateContent>
  <xr:revisionPtr revIDLastSave="0" documentId="13_ncr:1_{9760611A-DCA2-40F1-8283-A2DC15B3EBD7}" xr6:coauthVersionLast="47" xr6:coauthVersionMax="47" xr10:uidLastSave="{00000000-0000-0000-0000-000000000000}"/>
  <bookViews>
    <workbookView xWindow="-120" yWindow="-120" windowWidth="29040" windowHeight="15720" activeTab="4" xr2:uid="{CE072ADB-E90F-43EA-A019-A273CA2637CC}"/>
  </bookViews>
  <sheets>
    <sheet name="CoverSheet" sheetId="8" r:id="rId1"/>
    <sheet name="ST2000" sheetId="4" r:id="rId2"/>
    <sheet name="Spettmann" sheetId="6" r:id="rId3"/>
    <sheet name="MA3" sheetId="7" r:id="rId4"/>
    <sheet name=" Chill D1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5" i="5" l="1"/>
  <c r="B14" i="7"/>
  <c r="B14" i="6"/>
  <c r="B25" i="5"/>
  <c r="F25" i="5" s="1"/>
  <c r="F29" i="5" s="1"/>
  <c r="B24" i="6"/>
  <c r="F27" i="6" s="1"/>
  <c r="B24" i="4"/>
  <c r="F26" i="4" s="1"/>
  <c r="F27" i="7"/>
  <c r="B24" i="7"/>
  <c r="D6" i="7"/>
  <c r="C9" i="7"/>
  <c r="F14" i="7" s="1"/>
  <c r="F16" i="7" s="1"/>
  <c r="F19" i="7" s="1"/>
  <c r="F21" i="7" s="1"/>
  <c r="C9" i="6"/>
  <c r="F14" i="6" s="1"/>
  <c r="F16" i="6" s="1"/>
  <c r="D6" i="6"/>
  <c r="C9" i="5"/>
  <c r="F15" i="5" s="1"/>
  <c r="F17" i="5" s="1"/>
  <c r="D6" i="5"/>
  <c r="D6" i="4"/>
  <c r="C9" i="4"/>
  <c r="F14" i="4" s="1"/>
  <c r="F16" i="4" s="1"/>
  <c r="B14" i="4"/>
  <c r="F19" i="6" l="1"/>
  <c r="F21" i="6" s="1"/>
  <c r="F20" i="5"/>
  <c r="F22" i="5" s="1"/>
  <c r="F19" i="4"/>
  <c r="F21" i="4" s="1"/>
</calcChain>
</file>

<file path=xl/sharedStrings.xml><?xml version="1.0" encoding="utf-8"?>
<sst xmlns="http://schemas.openxmlformats.org/spreadsheetml/2006/main" count="294" uniqueCount="130">
  <si>
    <t xml:space="preserve">สูตรการตัดผ้า </t>
  </si>
  <si>
    <t>ชนิดสินค้า</t>
  </si>
  <si>
    <t>กว้าง (ซม.)</t>
  </si>
  <si>
    <t>ชนิดผ้า</t>
  </si>
  <si>
    <t>***ใช้หน่วยเป็น เซนติเมตร***</t>
  </si>
  <si>
    <t>ข้อ 1</t>
  </si>
  <si>
    <t>ระบบ - เลือก 1 ชนิด</t>
  </si>
  <si>
    <t>ความกว้างกันสาด</t>
  </si>
  <si>
    <t>สูตรคำนวน</t>
  </si>
  <si>
    <t>ผลลัพธ์</t>
  </si>
  <si>
    <t>D</t>
  </si>
  <si>
    <t>(A-11)</t>
  </si>
  <si>
    <t xml:space="preserve"> ขนาดผลิต เย็บสำเร็จแล้วให้ได้ตามนี้</t>
  </si>
  <si>
    <t>ซม.</t>
  </si>
  <si>
    <t>ข้อ 2</t>
  </si>
  <si>
    <t xml:space="preserve">ขนาดตัดผ้าก่อนเย็บ </t>
  </si>
  <si>
    <t xml:space="preserve">พับริม ซ้ายขวา </t>
  </si>
  <si>
    <t>บวก ฝั่งละ 3 ซม. รวมเป็น 6 ซม.</t>
  </si>
  <si>
    <t>(D+6)</t>
  </si>
  <si>
    <t>E</t>
  </si>
  <si>
    <t>ข้อ 3</t>
  </si>
  <si>
    <t>จำนวนแถบ/ชุด</t>
  </si>
  <si>
    <t xml:space="preserve">ความกว้างกันสาด หาร ความกว้างหน้าผ้า </t>
  </si>
  <si>
    <t>(E/C)</t>
  </si>
  <si>
    <t>แล้วปัดเศษขึ้นเพื่อให้ได้แถบเต็ม</t>
  </si>
  <si>
    <t>F</t>
  </si>
  <si>
    <t>แถบ</t>
  </si>
  <si>
    <t>ข้อ 4</t>
  </si>
  <si>
    <t>จำนวนแถบทั้งหมด</t>
  </si>
  <si>
    <t>จำนวนแถบ/ชุด*จำนวนชุดทั้งหมด</t>
  </si>
  <si>
    <t>(F*B)</t>
  </si>
  <si>
    <t>G</t>
  </si>
  <si>
    <t>ข้อ 5</t>
  </si>
  <si>
    <t>หน่วย</t>
  </si>
  <si>
    <t>ความยาวผ้าที่ต้องตัด</t>
  </si>
  <si>
    <t>I</t>
  </si>
  <si>
    <t>กันสาดแนวดิ่ง ST2000</t>
  </si>
  <si>
    <t>ลดความกว้าง 9ซม.</t>
  </si>
  <si>
    <t xml:space="preserve"> (A-9)</t>
  </si>
  <si>
    <t>(A-8)</t>
  </si>
  <si>
    <t>ลดความกว้าง 9 ซม.</t>
  </si>
  <si>
    <t xml:space="preserve">ลดความกว้าง 9.5 ซม. </t>
  </si>
  <si>
    <t>(A-9.5)</t>
  </si>
  <si>
    <t>เผื่อม้วน+พับริมใส่กระบอก</t>
  </si>
  <si>
    <t>(H+50)</t>
  </si>
  <si>
    <t>(H+60)</t>
  </si>
  <si>
    <t>เลือกชนิดผ้า</t>
  </si>
  <si>
    <t xml:space="preserve"> ลดความกว้าง 11 ซม. </t>
  </si>
  <si>
    <t>Fabric Type</t>
  </si>
  <si>
    <t>Fabric Width (cm)</t>
  </si>
  <si>
    <t>Solar Screen 2.50 meter</t>
  </si>
  <si>
    <t>Solar Screen 3.00 meter</t>
  </si>
  <si>
    <t>Solar View 1.50 meter</t>
  </si>
  <si>
    <t>Solar Sand 2.00 meter</t>
  </si>
  <si>
    <t>Acrylic 1.20 meter</t>
  </si>
  <si>
    <t>Suntex 2.50 meter</t>
  </si>
  <si>
    <t>Suntex 3.00 meter</t>
  </si>
  <si>
    <t xml:space="preserve"> ลดความกว้าง 8 ซม. </t>
  </si>
  <si>
    <r>
      <t xml:space="preserve"> ความสูงของกันสาด (ซม.) </t>
    </r>
    <r>
      <rPr>
        <b/>
        <sz val="14"/>
        <color rgb="FFFF0000"/>
        <rFont val="Calibri"/>
        <family val="2"/>
        <scheme val="minor"/>
      </rPr>
      <t>(H)</t>
    </r>
  </si>
  <si>
    <r>
      <t xml:space="preserve">หน้ากว้างผ้า  </t>
    </r>
    <r>
      <rPr>
        <b/>
        <sz val="16"/>
        <color rgb="FFFF0000"/>
        <rFont val="Calibri"/>
        <family val="2"/>
        <scheme val="minor"/>
      </rPr>
      <t>(C)</t>
    </r>
  </si>
  <si>
    <r>
      <t>ขนาดกันสาด</t>
    </r>
    <r>
      <rPr>
        <sz val="16"/>
        <color rgb="FFFF0000"/>
        <rFont val="Calibri"/>
        <family val="2"/>
        <scheme val="minor"/>
      </rPr>
      <t xml:space="preserve"> </t>
    </r>
    <r>
      <rPr>
        <b/>
        <sz val="16"/>
        <color rgb="FFFF0000"/>
        <rFont val="Calibri"/>
        <family val="2"/>
        <scheme val="minor"/>
      </rPr>
      <t>(A)</t>
    </r>
  </si>
  <si>
    <r>
      <t>จำนวนชุด</t>
    </r>
    <r>
      <rPr>
        <b/>
        <sz val="14"/>
        <color rgb="FFFF0000"/>
        <rFont val="Calibri"/>
        <family val="2"/>
        <scheme val="minor"/>
      </rPr>
      <t>(B)</t>
    </r>
  </si>
  <si>
    <t xml:space="preserve">  </t>
  </si>
  <si>
    <t>แขนตรง Chill D1</t>
  </si>
  <si>
    <t>ขนาดกันสาด</t>
  </si>
  <si>
    <t>ลดความกว้าง 11ซม.</t>
  </si>
  <si>
    <t xml:space="preserve"> (A-11)</t>
  </si>
  <si>
    <t xml:space="preserve">ลดความกว้าง 13 ซม. </t>
  </si>
  <si>
    <t>(A-13)</t>
  </si>
  <si>
    <t xml:space="preserve">ลดความกว้าง 10 ซม. </t>
  </si>
  <si>
    <t>(A-10)</t>
  </si>
  <si>
    <t>ลดความกว้าง 11 ม.</t>
  </si>
  <si>
    <t>ลดความกว้าง 10.5 ม.</t>
  </si>
  <si>
    <t xml:space="preserve"> (A-10.5)</t>
  </si>
  <si>
    <t xml:space="preserve">ลดความกว้าง 12 ซม. </t>
  </si>
  <si>
    <t>(A-12)</t>
  </si>
  <si>
    <t>ความยื่น*2 (ปิดม่านคลุมหน้าต่าง)</t>
  </si>
  <si>
    <t>(H*2)</t>
  </si>
  <si>
    <t>(I+30+20+30)</t>
  </si>
  <si>
    <t>J</t>
  </si>
  <si>
    <t>PVC HC 1.13 meter</t>
  </si>
  <si>
    <r>
      <t>จำนวนชุด</t>
    </r>
    <r>
      <rPr>
        <b/>
        <sz val="14"/>
        <color rgb="FFFF0000"/>
        <rFont val="Calibri"/>
        <family val="2"/>
        <scheme val="minor"/>
      </rPr>
      <t xml:space="preserve"> (B)</t>
    </r>
  </si>
  <si>
    <r>
      <t>หน้ากว้างผ้า</t>
    </r>
    <r>
      <rPr>
        <b/>
        <sz val="16"/>
        <color rgb="FFFF0000"/>
        <rFont val="Calibri"/>
        <family val="2"/>
        <scheme val="minor"/>
      </rPr>
      <t>(C)</t>
    </r>
    <r>
      <rPr>
        <sz val="16"/>
        <color theme="1"/>
        <rFont val="Calibri"/>
        <family val="2"/>
        <scheme val="minor"/>
      </rPr>
      <t xml:space="preserve"> </t>
    </r>
  </si>
  <si>
    <r>
      <t xml:space="preserve"> ความยื่นของกันสาด (ซม.) </t>
    </r>
    <r>
      <rPr>
        <b/>
        <sz val="14"/>
        <color rgb="FFFF0000"/>
        <rFont val="Calibri"/>
        <family val="2"/>
        <scheme val="minor"/>
      </rPr>
      <t>(H)</t>
    </r>
  </si>
  <si>
    <t>พับเก็บได้ Spettmann</t>
  </si>
  <si>
    <t>ลดความกว้าง 12ซม.</t>
  </si>
  <si>
    <t xml:space="preserve"> (A-12)</t>
  </si>
  <si>
    <t xml:space="preserve">ลดความกว้าง 14 ซม. </t>
  </si>
  <si>
    <t>(A-14)</t>
  </si>
  <si>
    <t xml:space="preserve">ลดความกว้าง 11 ซม. </t>
  </si>
  <si>
    <t xml:space="preserve">ลดความกว้าง 12.5 ซม. </t>
  </si>
  <si>
    <t>(A-12.5)</t>
  </si>
  <si>
    <t>(H+30+20+30)</t>
  </si>
  <si>
    <t xml:space="preserve">กว้าง (ซม.)   </t>
  </si>
  <si>
    <r>
      <t xml:space="preserve">ขนาดกันสาด </t>
    </r>
    <r>
      <rPr>
        <b/>
        <sz val="16"/>
        <color rgb="FFFF0000"/>
        <rFont val="Calibri"/>
        <family val="2"/>
        <scheme val="minor"/>
      </rPr>
      <t>(A)</t>
    </r>
  </si>
  <si>
    <r>
      <t>ขนาดกันสาด</t>
    </r>
    <r>
      <rPr>
        <b/>
        <sz val="16"/>
        <color rgb="FFFF0000"/>
        <rFont val="Calibri"/>
        <family val="2"/>
        <scheme val="minor"/>
      </rPr>
      <t xml:space="preserve"> (A)</t>
    </r>
  </si>
  <si>
    <r>
      <t xml:space="preserve">หน้ากว้างผ้า </t>
    </r>
    <r>
      <rPr>
        <b/>
        <sz val="16"/>
        <color rgb="FFFF0000"/>
        <rFont val="Calibri"/>
        <family val="2"/>
        <scheme val="minor"/>
      </rPr>
      <t>(C)</t>
    </r>
  </si>
  <si>
    <r>
      <t xml:space="preserve">จำนวนชุด </t>
    </r>
    <r>
      <rPr>
        <b/>
        <sz val="14"/>
        <color rgb="FFFF0000"/>
        <rFont val="Calibri"/>
        <family val="2"/>
        <scheme val="minor"/>
      </rPr>
      <t>(B)</t>
    </r>
  </si>
  <si>
    <r>
      <t xml:space="preserve"> ความยื่นของกันสาด (ซม.)</t>
    </r>
    <r>
      <rPr>
        <b/>
        <sz val="14"/>
        <color rgb="FFFF0000"/>
        <rFont val="Calibri"/>
        <family val="2"/>
        <scheme val="minor"/>
      </rPr>
      <t xml:space="preserve"> (H)</t>
    </r>
  </si>
  <si>
    <t>พับเก็บได้ MA3</t>
  </si>
  <si>
    <t>ลดความกว้าง 15ซม.</t>
  </si>
  <si>
    <t xml:space="preserve"> (A-15)</t>
  </si>
  <si>
    <t xml:space="preserve">ลดความกว้าง 17 ซม. </t>
  </si>
  <si>
    <t>(A-17)</t>
  </si>
  <si>
    <t>ลดความกว้าง 13ซม.</t>
  </si>
  <si>
    <t xml:space="preserve"> (A-13)</t>
  </si>
  <si>
    <r>
      <t xml:space="preserve">กว้าง (ซม.)   </t>
    </r>
    <r>
      <rPr>
        <b/>
        <sz val="16"/>
        <color rgb="FFFF0000"/>
        <rFont val="Calibri"/>
        <family val="2"/>
        <scheme val="minor"/>
      </rPr>
      <t>(A)</t>
    </r>
  </si>
  <si>
    <r>
      <t xml:space="preserve">หน้ากว้างผ้า </t>
    </r>
    <r>
      <rPr>
        <b/>
        <sz val="16"/>
        <color rgb="FFFF0000"/>
        <rFont val="Calibri"/>
        <family val="2"/>
        <scheme val="minor"/>
      </rPr>
      <t xml:space="preserve">(C) </t>
    </r>
  </si>
  <si>
    <r>
      <t xml:space="preserve">ความกว้างกันสาด </t>
    </r>
    <r>
      <rPr>
        <b/>
        <sz val="14"/>
        <color rgb="FFFF0000"/>
        <rFont val="Calibri"/>
        <family val="2"/>
        <scheme val="minor"/>
      </rPr>
      <t>(A)</t>
    </r>
  </si>
  <si>
    <t>📘 คำแนะนำการใช้งานไฟล์คำนวณ</t>
  </si>
  <si>
    <t>ไฟล์ Excel นี้ถูกออกแบบมาเพื่อช่วยคำนวณข้อมูลโดยอัตโนมัติ</t>
  </si>
  <si>
    <t>เพื่อให้ได้ผลลัพธ์ที่ถูกต้อง กรุณาปฏิบัติตามคำแนะนำด้านล่าง</t>
  </si>
  <si>
    <t>✏️ วิธีกรอกข้อมูล</t>
  </si>
  <si>
    <r>
      <t xml:space="preserve">กรอกข้อมูล </t>
    </r>
    <r>
      <rPr>
        <b/>
        <sz val="11"/>
        <color theme="1"/>
        <rFont val="Calibri"/>
        <family val="2"/>
        <charset val="222"/>
        <scheme val="minor"/>
      </rPr>
      <t>เฉพาะช่องที่มีพื้นหลังสีเทา</t>
    </r>
  </si>
  <si>
    <t>ไม่ควรแก้ไขช่องอื่น ๆ นอกเหนือจากที่กำหนด</t>
  </si>
  <si>
    <t>ช่องที่ไม่ได้เป็นสีเทามีสูตรคำนวณอยู่แล้ว</t>
  </si>
  <si>
    <t>☑️ การเลือก Checkbox</t>
  </si>
  <si>
    <r>
      <t xml:space="preserve">บางค่าคำนวณขึ้นอยู่กับ </t>
    </r>
    <r>
      <rPr>
        <b/>
        <sz val="11"/>
        <color theme="1"/>
        <rFont val="Calibri"/>
        <family val="2"/>
        <charset val="222"/>
        <scheme val="minor"/>
      </rPr>
      <t>การเลือก Checkbox</t>
    </r>
  </si>
  <si>
    <r>
      <t xml:space="preserve">ระบบจะใช้ค่าตาม </t>
    </r>
    <r>
      <rPr>
        <b/>
        <sz val="11"/>
        <color theme="1"/>
        <rFont val="Calibri"/>
        <family val="2"/>
        <charset val="222"/>
        <scheme val="minor"/>
      </rPr>
      <t>Checkbox ที่ถูกเลือกอยู่</t>
    </r>
  </si>
  <si>
    <t>กรุณาตรวจสอบให้แน่ใจว่าเลือกถูกต้องก่อนดูผลลัพธ์</t>
  </si>
  <si>
    <t>หมายเหตุ: การเลือกหลาย Checkbox พร้อมกัน อาจทำให้ค่าที่คำนวณไม่ถูกต้อง</t>
  </si>
  <si>
    <t>🔢 การคำนวณผลลัพธ์</t>
  </si>
  <si>
    <t>หลังจากกรอกข้อมูลและเลือกตัวเลือกครบถ้วน</t>
  </si>
  <si>
    <t>ระบบจะคำนวณผลลัพธ์ให้โดยอัตโนมัติ</t>
  </si>
  <si>
    <t>ค่าที่แสดงเป็นค่าที่ผ่านการตรวจสอบเงื่อนไขแล้ว</t>
  </si>
  <si>
    <t>🔒 ข้อควรระวัง</t>
  </si>
  <si>
    <t>ห้ามแก้ไขสูตรหรือโครงสร้างไฟล์</t>
  </si>
  <si>
    <t>การแก้ไขโดยไม่ได้รับอนุญาตอาจทำให้ข้อมูลผิดพลาด</t>
  </si>
  <si>
    <t>หากมีข้อสงสัยหรือจำเป็นต้องแก้ไขรูปแบบการคำนวณ</t>
  </si>
  <si>
    <t>กรุณาติดต่อผู้ดูแลไฟล์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</si>
</sst>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charset val="22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1"/>
      <color theme="1"/>
      <name val="Calibri"/>
      <family val="2"/>
      <charset val="222"/>
      <scheme val="minor"/>
    </font>
    <font>
      <b/>
      <sz val="14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3.5"/>
      <color theme="1"/>
      <name val="Calibri"/>
      <family val="2"/>
      <charset val="22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6" fillId="0" borderId="0" xfId="0" applyFont="1"/>
    <xf numFmtId="0" fontId="4" fillId="3" borderId="0" xfId="0" applyFont="1" applyFill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0" borderId="0" xfId="0" applyFont="1"/>
    <xf numFmtId="0" fontId="4" fillId="0" borderId="5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4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9" xfId="0" applyFont="1" applyBorder="1" applyAlignment="1">
      <alignment vertical="center"/>
    </xf>
    <xf numFmtId="0" fontId="8" fillId="0" borderId="5" xfId="0" applyFont="1" applyBorder="1" applyAlignment="1">
      <alignment horizontal="right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8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1" fillId="0" borderId="8" xfId="0" applyFont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5" borderId="3" xfId="0" applyFont="1" applyFill="1" applyBorder="1"/>
    <xf numFmtId="0" fontId="7" fillId="5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0" borderId="1" xfId="0" quotePrefix="1" applyFont="1" applyBorder="1" applyAlignment="1">
      <alignment horizontal="right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3" xfId="0" applyFont="1" applyBorder="1"/>
    <xf numFmtId="0" fontId="1" fillId="5" borderId="5" xfId="0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0" borderId="6" xfId="0" applyFont="1" applyBorder="1"/>
    <xf numFmtId="0" fontId="11" fillId="0" borderId="8" xfId="0" applyFont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7" fillId="2" borderId="1" xfId="0" applyFont="1" applyFill="1" applyBorder="1" applyAlignment="1">
      <alignment horizontal="center"/>
    </xf>
    <xf numFmtId="0" fontId="4" fillId="0" borderId="3" xfId="0" applyFont="1" applyBorder="1"/>
    <xf numFmtId="0" fontId="11" fillId="0" borderId="5" xfId="0" applyFont="1" applyBorder="1" applyAlignment="1">
      <alignment horizontal="center"/>
    </xf>
    <xf numFmtId="0" fontId="1" fillId="6" borderId="9" xfId="0" applyFont="1" applyFill="1" applyBorder="1"/>
    <xf numFmtId="0" fontId="5" fillId="6" borderId="1" xfId="0" applyFont="1" applyFill="1" applyBorder="1" applyAlignment="1">
      <alignment horizontal="right"/>
    </xf>
    <xf numFmtId="0" fontId="1" fillId="6" borderId="1" xfId="0" applyFont="1" applyFill="1" applyBorder="1"/>
    <xf numFmtId="0" fontId="1" fillId="6" borderId="1" xfId="0" applyFont="1" applyFill="1" applyBorder="1" applyAlignment="1">
      <alignment horizontal="right"/>
    </xf>
    <xf numFmtId="0" fontId="1" fillId="6" borderId="5" xfId="0" applyFont="1" applyFill="1" applyBorder="1"/>
    <xf numFmtId="0" fontId="1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4" fillId="0" borderId="3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4" fillId="0" borderId="7" xfId="0" applyFont="1" applyBorder="1" applyAlignment="1">
      <alignment horizontal="right" vertic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3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1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4" fillId="0" borderId="8" xfId="0" applyFont="1" applyBorder="1" applyAlignment="1">
      <alignment horizontal="right"/>
    </xf>
    <xf numFmtId="0" fontId="1" fillId="0" borderId="15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CheckBox" checked="Checked" fmlaLink="$B$9" lockText="1" noThreeD="1"/>
</file>

<file path=xl/ctrlProps/ctrlProp2.xml><?xml version="1.0" encoding="utf-8"?>
<formControlPr xmlns="http://schemas.microsoft.com/office/spreadsheetml/2009/9/main" objectType="CheckBox" fmlaLink="$B$10" lockText="1" noThreeD="1"/>
</file>

<file path=xl/ctrlProps/ctrlProp3.xml><?xml version="1.0" encoding="utf-8"?>
<formControlPr xmlns="http://schemas.microsoft.com/office/spreadsheetml/2009/9/main" objectType="CheckBox" fmlaLink="$B$11" lockText="1" noThreeD="1"/>
</file>

<file path=xl/ctrlProps/ctrlProp4.xml><?xml version="1.0" encoding="utf-8"?>
<formControlPr xmlns="http://schemas.microsoft.com/office/spreadsheetml/2009/9/main" objectType="CheckBox" fmlaLink="$B$12" lockText="1" noThreeD="1"/>
</file>

<file path=xl/ctrlProps/ctrlProp5.xml><?xml version="1.0" encoding="utf-8"?>
<formControlPr xmlns="http://schemas.microsoft.com/office/spreadsheetml/2009/9/main" objectType="CheckBox" fmlaLink="$B$13" lockText="1" noThreeD="1"/>
</file>

<file path=xl/ctrlProps/ctrlProp6.xml><?xml version="1.0" encoding="utf-8"?>
<formControlPr xmlns="http://schemas.microsoft.com/office/spreadsheetml/2009/9/main" objectType="CheckBox" checked="Checked" fmlaLink="$D$24" lockText="1" noThreeD="1"/>
</file>

<file path=xl/ctrlProps/ctrlProp7.xml><?xml version="1.0" encoding="utf-8"?>
<formControlPr xmlns="http://schemas.microsoft.com/office/spreadsheetml/2009/9/main" objectType="CheckBox" fmlaLink="$D$25" lockText="1" noThreeD="1"/>
</file>

<file path=xl/ctrlProps/ctrlProp8.xml><?xml version="1.0" encoding="utf-8"?>
<formControlPr xmlns="http://schemas.microsoft.com/office/spreadsheetml/2009/9/main" objectType="CheckBox" fmlaLink="$B$9" lockText="1" noThreeD="1"/>
</file>

<file path=xl/ctrlProps/ctrlProp9.xml><?xml version="1.0" encoding="utf-8"?>
<formControlPr xmlns="http://schemas.microsoft.com/office/spreadsheetml/2009/9/main" objectType="CheckBox" fmlaLink="$B$10" lockText="1" noThreeD="1"/>
</file>

<file path=xl/ctrlProps/ctrlProp10.xml><?xml version="1.0" encoding="utf-8"?>
<formControlPr xmlns="http://schemas.microsoft.com/office/spreadsheetml/2009/9/main" objectType="CheckBox" checked="Checked" fmlaLink="$B$11" lockText="1" noThreeD="1"/>
</file>

<file path=xl/ctrlProps/ctrlProp11.xml><?xml version="1.0" encoding="utf-8"?>
<formControlPr xmlns="http://schemas.microsoft.com/office/spreadsheetml/2009/9/main" objectType="CheckBox" fmlaLink="$B$12" lockText="1" noThreeD="1"/>
</file>

<file path=xl/ctrlProps/ctrlProp12.xml><?xml version="1.0" encoding="utf-8"?>
<formControlPr xmlns="http://schemas.microsoft.com/office/spreadsheetml/2009/9/main" objectType="CheckBox" fmlaLink="$B$13" lockText="1" noThreeD="1"/>
</file>

<file path=xl/ctrlProps/ctrlProp13.xml><?xml version="1.0" encoding="utf-8"?>
<formControlPr xmlns="http://schemas.microsoft.com/office/spreadsheetml/2009/9/main" objectType="CheckBox" checked="Checked" fmlaLink="$D$24" lockText="1" noThreeD="1"/>
</file>

<file path=xl/ctrlProps/ctrlProp14.xml><?xml version="1.0" encoding="utf-8"?>
<formControlPr xmlns="http://schemas.microsoft.com/office/spreadsheetml/2009/9/main" objectType="CheckBox" checked="Checked" fmlaLink="$D$25" lockText="1" noThreeD="1"/>
</file>

<file path=xl/ctrlProps/ctrlProp15.xml><?xml version="1.0" encoding="utf-8"?>
<formControlPr xmlns="http://schemas.microsoft.com/office/spreadsheetml/2009/9/main" objectType="CheckBox" fmlaLink="$D$26" lockText="1" noThreeD="1"/>
</file>

<file path=xl/ctrlProps/ctrlProp16.xml><?xml version="1.0" encoding="utf-8"?>
<formControlPr xmlns="http://schemas.microsoft.com/office/spreadsheetml/2009/9/main" objectType="CheckBox" fmlaLink="$B$9" lockText="1" noThreeD="1"/>
</file>

<file path=xl/ctrlProps/ctrlProp17.xml><?xml version="1.0" encoding="utf-8"?>
<formControlPr xmlns="http://schemas.microsoft.com/office/spreadsheetml/2009/9/main" objectType="CheckBox" fmlaLink="$B$10" lockText="1" noThreeD="1"/>
</file>

<file path=xl/ctrlProps/ctrlProp18.xml><?xml version="1.0" encoding="utf-8"?>
<formControlPr xmlns="http://schemas.microsoft.com/office/spreadsheetml/2009/9/main" objectType="CheckBox" fmlaLink="$B$11" lockText="1" noThreeD="1"/>
</file>

<file path=xl/ctrlProps/ctrlProp19.xml><?xml version="1.0" encoding="utf-8"?>
<formControlPr xmlns="http://schemas.microsoft.com/office/spreadsheetml/2009/9/main" objectType="CheckBox" fmlaLink="$B$12" lockText="1" noThreeD="1"/>
</file>

<file path=xl/ctrlProps/ctrlProp20.xml><?xml version="1.0" encoding="utf-8"?>
<formControlPr xmlns="http://schemas.microsoft.com/office/spreadsheetml/2009/9/main" objectType="CheckBox" fmlaLink="$B$13" lockText="1" noThreeD="1"/>
</file>

<file path=xl/ctrlProps/ctrlProp21.xml><?xml version="1.0" encoding="utf-8"?>
<formControlPr xmlns="http://schemas.microsoft.com/office/spreadsheetml/2009/9/main" objectType="CheckBox" fmlaLink="$D$24" lockText="1" noThreeD="1"/>
</file>

<file path=xl/ctrlProps/ctrlProp22.xml><?xml version="1.0" encoding="utf-8"?>
<formControlPr xmlns="http://schemas.microsoft.com/office/spreadsheetml/2009/9/main" objectType="CheckBox" fmlaLink="$D$25" lockText="1" noThreeD="1"/>
</file>

<file path=xl/ctrlProps/ctrlProp23.xml><?xml version="1.0" encoding="utf-8"?>
<formControlPr xmlns="http://schemas.microsoft.com/office/spreadsheetml/2009/9/main" objectType="CheckBox" fmlaLink="$D$26" lockText="1" noThreeD="1"/>
</file>

<file path=xl/ctrlProps/ctrlProp24.xml><?xml version="1.0" encoding="utf-8"?>
<formControlPr xmlns="http://schemas.microsoft.com/office/spreadsheetml/2009/9/main" objectType="CheckBox" fmlaLink="$B$9" lockText="1" noThreeD="1"/>
</file>

<file path=xl/ctrlProps/ctrlProp25.xml><?xml version="1.0" encoding="utf-8"?>
<formControlPr xmlns="http://schemas.microsoft.com/office/spreadsheetml/2009/9/main" objectType="CheckBox" checked="Checked" fmlaLink="$B$10" lockText="1" noThreeD="1"/>
</file>

<file path=xl/ctrlProps/ctrlProp26.xml><?xml version="1.0" encoding="utf-8"?>
<formControlPr xmlns="http://schemas.microsoft.com/office/spreadsheetml/2009/9/main" objectType="CheckBox" fmlaLink="$B$11" lockText="1" noThreeD="1"/>
</file>

<file path=xl/ctrlProps/ctrlProp27.xml><?xml version="1.0" encoding="utf-8"?>
<formControlPr xmlns="http://schemas.microsoft.com/office/spreadsheetml/2009/9/main" objectType="CheckBox" fmlaLink="$B$12" lockText="1" noThreeD="1"/>
</file>

<file path=xl/ctrlProps/ctrlProp28.xml><?xml version="1.0" encoding="utf-8"?>
<formControlPr xmlns="http://schemas.microsoft.com/office/spreadsheetml/2009/9/main" objectType="CheckBox" fmlaLink="$B$13" lockText="1" noThreeD="1"/>
</file>

<file path=xl/ctrlProps/ctrlProp29.xml><?xml version="1.0" encoding="utf-8"?>
<formControlPr xmlns="http://schemas.microsoft.com/office/spreadsheetml/2009/9/main" objectType="CheckBox" fmlaLink="$B$14" lockText="1" noThreeD="1"/>
</file>

<file path=xl/ctrlProps/ctrlProp30.xml><?xml version="1.0" encoding="utf-8"?>
<formControlPr xmlns="http://schemas.microsoft.com/office/spreadsheetml/2009/9/main" objectType="CheckBox" checked="Checked" fmlaLink="$D$26" lockText="1" noThreeD="1"/>
</file>

<file path=xl/ctrlProps/ctrlProp31.xml><?xml version="1.0" encoding="utf-8"?>
<formControlPr xmlns="http://schemas.microsoft.com/office/spreadsheetml/2009/9/main" objectType="CheckBox" fmlaLink="$D$27" lockText="1" noThreeD="1"/>
</file>

<file path=xl/ctrlProps/ctrlProp32.xml><?xml version="1.0" encoding="utf-8"?>
<formControlPr xmlns="http://schemas.microsoft.com/office/spreadsheetml/2009/9/main" objectType="CheckBox" fmlaLink="$D$28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8</xdr:row>
          <xdr:rowOff>28575</xdr:rowOff>
        </xdr:from>
        <xdr:to>
          <xdr:col>1</xdr:col>
          <xdr:colOff>676275</xdr:colOff>
          <xdr:row>8</xdr:row>
          <xdr:rowOff>247650</xdr:rowOff>
        </xdr:to>
        <xdr:sp macro="" textlink="">
          <xdr:nvSpPr>
            <xdr:cNvPr id="4097" name="เกียร์ 9: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1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เกียร์ 9:1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47625</xdr:rowOff>
        </xdr:from>
        <xdr:to>
          <xdr:col>1</xdr:col>
          <xdr:colOff>657225</xdr:colOff>
          <xdr:row>10</xdr:row>
          <xdr:rowOff>0</xdr:rowOff>
        </xdr:to>
        <xdr:sp macro="" textlink="">
          <xdr:nvSpPr>
            <xdr:cNvPr id="4098" name="เกียร์ 13:1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เกียร์ 13:1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</xdr:row>
          <xdr:rowOff>28575</xdr:rowOff>
        </xdr:from>
        <xdr:to>
          <xdr:col>1</xdr:col>
          <xdr:colOff>1314450</xdr:colOff>
          <xdr:row>10</xdr:row>
          <xdr:rowOff>419100</xdr:rowOff>
        </xdr:to>
        <xdr:sp macro="" textlink="">
          <xdr:nvSpPr>
            <xdr:cNvPr id="4099" name="มอเตอร์Somfy / Strong up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1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มอเตอร์Somfy / Strong up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</xdr:row>
          <xdr:rowOff>9525</xdr:rowOff>
        </xdr:from>
        <xdr:to>
          <xdr:col>1</xdr:col>
          <xdr:colOff>1428750</xdr:colOff>
          <xdr:row>11</xdr:row>
          <xdr:rowOff>428625</xdr:rowOff>
        </xdr:to>
        <xdr:sp macro="" textlink="">
          <xdr:nvSpPr>
            <xdr:cNvPr id="4100" name="มอเตอร์ Spettmann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1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มอเตอร์ Spettmann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</xdr:row>
          <xdr:rowOff>28575</xdr:rowOff>
        </xdr:from>
        <xdr:to>
          <xdr:col>1</xdr:col>
          <xdr:colOff>1781175</xdr:colOff>
          <xdr:row>12</xdr:row>
          <xdr:rowOff>352425</xdr:rowOff>
        </xdr:to>
        <xdr:sp macro="" textlink="">
          <xdr:nvSpPr>
            <xdr:cNvPr id="4101" name="มอเตอร์ มอเตอร์+เกียร์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1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มอเตอร์+เกียร์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133350</xdr:colOff>
          <xdr:row>23</xdr:row>
          <xdr:rowOff>38100</xdr:rowOff>
        </xdr:from>
        <xdr:to>
          <xdr:col>3</xdr:col>
          <xdr:colOff>1819275</xdr:colOff>
          <xdr:row>23</xdr:row>
          <xdr:rowOff>238125</xdr:rowOff>
        </xdr:to>
        <xdr:sp macro="" textlink="">
          <xdr:nvSpPr>
            <xdr:cNvPr id="4102" name="ผ้าโซล่าสกรีน บวก 50 ซม.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1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ผ้าโซล่าสกรีน บวก 50 ซม.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152400</xdr:colOff>
          <xdr:row>24</xdr:row>
          <xdr:rowOff>19050</xdr:rowOff>
        </xdr:from>
        <xdr:to>
          <xdr:col>3</xdr:col>
          <xdr:colOff>1666875</xdr:colOff>
          <xdr:row>24</xdr:row>
          <xdr:rowOff>257175</xdr:rowOff>
        </xdr:to>
        <xdr:sp macro="" textlink="">
          <xdr:nvSpPr>
            <xdr:cNvPr id="4103" name="ผ้าอื่นๆ บวก 60 ซม.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1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ผ้าอื่นๆ บวก 60 ซม.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8</xdr:row>
          <xdr:rowOff>28575</xdr:rowOff>
        </xdr:from>
        <xdr:to>
          <xdr:col>1</xdr:col>
          <xdr:colOff>676275</xdr:colOff>
          <xdr:row>8</xdr:row>
          <xdr:rowOff>247650</xdr:rowOff>
        </xdr:to>
        <xdr:sp macro="" textlink="">
          <xdr:nvSpPr>
            <xdr:cNvPr id="6151" name="เกียร์ 9:1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2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เกียร์ 9:1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47625</xdr:rowOff>
        </xdr:from>
        <xdr:to>
          <xdr:col>1</xdr:col>
          <xdr:colOff>657225</xdr:colOff>
          <xdr:row>10</xdr:row>
          <xdr:rowOff>0</xdr:rowOff>
        </xdr:to>
        <xdr:sp macro="" textlink="">
          <xdr:nvSpPr>
            <xdr:cNvPr id="6152" name="เกียร์ 13:1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2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เกียร์ 13:1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</xdr:row>
          <xdr:rowOff>28575</xdr:rowOff>
        </xdr:from>
        <xdr:to>
          <xdr:col>1</xdr:col>
          <xdr:colOff>1314450</xdr:colOff>
          <xdr:row>10</xdr:row>
          <xdr:rowOff>419100</xdr:rowOff>
        </xdr:to>
        <xdr:sp macro="" textlink="">
          <xdr:nvSpPr>
            <xdr:cNvPr id="6153" name="มอเตอร์Somfy / Strong up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2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มอเตอร์Somfy / Strong up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</xdr:row>
          <xdr:rowOff>9525</xdr:rowOff>
        </xdr:from>
        <xdr:to>
          <xdr:col>1</xdr:col>
          <xdr:colOff>1428750</xdr:colOff>
          <xdr:row>11</xdr:row>
          <xdr:rowOff>428625</xdr:rowOff>
        </xdr:to>
        <xdr:sp macro="" textlink="">
          <xdr:nvSpPr>
            <xdr:cNvPr id="6154" name="มอเตอร์ Spettmann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2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มอเตอร์ Spettmann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</xdr:row>
          <xdr:rowOff>28575</xdr:rowOff>
        </xdr:from>
        <xdr:to>
          <xdr:col>1</xdr:col>
          <xdr:colOff>1781175</xdr:colOff>
          <xdr:row>12</xdr:row>
          <xdr:rowOff>352425</xdr:rowOff>
        </xdr:to>
        <xdr:sp macro="" textlink="">
          <xdr:nvSpPr>
            <xdr:cNvPr id="6155" name="มอเตอร์ มอเตอร์+เกียร์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2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มอเตอร์+เกียร์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23</xdr:row>
          <xdr:rowOff>47625</xdr:rowOff>
        </xdr:from>
        <xdr:to>
          <xdr:col>3</xdr:col>
          <xdr:colOff>1876425</xdr:colOff>
          <xdr:row>23</xdr:row>
          <xdr:rowOff>247650</xdr:rowOff>
        </xdr:to>
        <xdr:sp macro="" textlink="">
          <xdr:nvSpPr>
            <xdr:cNvPr id="6156" name="ผ้าโซล่าสกรีน บวก 50 ซม.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2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ม้วนในท่อบวก 30 ซม.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24</xdr:row>
          <xdr:rowOff>9525</xdr:rowOff>
        </xdr:from>
        <xdr:to>
          <xdr:col>3</xdr:col>
          <xdr:colOff>1876425</xdr:colOff>
          <xdr:row>24</xdr:row>
          <xdr:rowOff>209550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2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ระบายบวก 20 ซม.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161925</xdr:colOff>
          <xdr:row>25</xdr:row>
          <xdr:rowOff>38100</xdr:rowOff>
        </xdr:from>
        <xdr:to>
          <xdr:col>3</xdr:col>
          <xdr:colOff>1847850</xdr:colOff>
          <xdr:row>25</xdr:row>
          <xdr:rowOff>238125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2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พับริมใส่เชือกบวก 30 ซม.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8</xdr:row>
          <xdr:rowOff>28575</xdr:rowOff>
        </xdr:from>
        <xdr:to>
          <xdr:col>1</xdr:col>
          <xdr:colOff>676275</xdr:colOff>
          <xdr:row>8</xdr:row>
          <xdr:rowOff>247650</xdr:rowOff>
        </xdr:to>
        <xdr:sp macro="" textlink="">
          <xdr:nvSpPr>
            <xdr:cNvPr id="7171" name="เกียร์ 9:1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3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เกียร์ 9:1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47625</xdr:colOff>
          <xdr:row>9</xdr:row>
          <xdr:rowOff>47625</xdr:rowOff>
        </xdr:from>
        <xdr:to>
          <xdr:col>1</xdr:col>
          <xdr:colOff>657225</xdr:colOff>
          <xdr:row>9</xdr:row>
          <xdr:rowOff>266700</xdr:rowOff>
        </xdr:to>
        <xdr:sp macro="" textlink="">
          <xdr:nvSpPr>
            <xdr:cNvPr id="7172" name="เกียร์ 13:1" hidden="1">
              <a:extLst>
                <a:ext uri="{63B3BB69-23CF-44E3-9099-C40C66FF867C}">
                  <a14:compatExt spid="_x0000_s7172"/>
                </a:ext>
                <a:ext uri="{FF2B5EF4-FFF2-40B4-BE49-F238E27FC236}">
                  <a16:creationId xmlns:a16="http://schemas.microsoft.com/office/drawing/2014/main" id="{00000000-0008-0000-0300-000004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เกียร์ 13:1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10</xdr:row>
          <xdr:rowOff>28575</xdr:rowOff>
        </xdr:from>
        <xdr:to>
          <xdr:col>1</xdr:col>
          <xdr:colOff>1314450</xdr:colOff>
          <xdr:row>10</xdr:row>
          <xdr:rowOff>419100</xdr:rowOff>
        </xdr:to>
        <xdr:sp macro="" textlink="">
          <xdr:nvSpPr>
            <xdr:cNvPr id="7173" name="มอเตอร์Somfy / Strong up" hidden="1">
              <a:extLst>
                <a:ext uri="{63B3BB69-23CF-44E3-9099-C40C66FF867C}">
                  <a14:compatExt spid="_x0000_s7173"/>
                </a:ext>
                <a:ext uri="{FF2B5EF4-FFF2-40B4-BE49-F238E27FC236}">
                  <a16:creationId xmlns:a16="http://schemas.microsoft.com/office/drawing/2014/main" id="{00000000-0008-0000-0300-000005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มอเตอร์Somfy / Strong up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</xdr:row>
          <xdr:rowOff>9525</xdr:rowOff>
        </xdr:from>
        <xdr:to>
          <xdr:col>1</xdr:col>
          <xdr:colOff>1428750</xdr:colOff>
          <xdr:row>11</xdr:row>
          <xdr:rowOff>428625</xdr:rowOff>
        </xdr:to>
        <xdr:sp macro="" textlink="">
          <xdr:nvSpPr>
            <xdr:cNvPr id="7174" name="มอเตอร์ Spettmann" hidden="1">
              <a:extLst>
                <a:ext uri="{63B3BB69-23CF-44E3-9099-C40C66FF867C}">
                  <a14:compatExt spid="_x0000_s7174"/>
                </a:ext>
                <a:ext uri="{FF2B5EF4-FFF2-40B4-BE49-F238E27FC236}">
                  <a16:creationId xmlns:a16="http://schemas.microsoft.com/office/drawing/2014/main" id="{00000000-0008-0000-0300-000006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มอเตอร์ Spettmann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12</xdr:row>
          <xdr:rowOff>28575</xdr:rowOff>
        </xdr:from>
        <xdr:to>
          <xdr:col>1</xdr:col>
          <xdr:colOff>1781175</xdr:colOff>
          <xdr:row>12</xdr:row>
          <xdr:rowOff>352425</xdr:rowOff>
        </xdr:to>
        <xdr:sp macro="" textlink="">
          <xdr:nvSpPr>
            <xdr:cNvPr id="7175" name="มอเตอร์ มอเตอร์+เกียร์" hidden="1">
              <a:extLst>
                <a:ext uri="{63B3BB69-23CF-44E3-9099-C40C66FF867C}">
                  <a14:compatExt spid="_x0000_s7175"/>
                </a:ext>
                <a:ext uri="{FF2B5EF4-FFF2-40B4-BE49-F238E27FC236}">
                  <a16:creationId xmlns:a16="http://schemas.microsoft.com/office/drawing/2014/main" id="{00000000-0008-0000-0300-000007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 มอเตอร์+เกียร์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23</xdr:row>
          <xdr:rowOff>47625</xdr:rowOff>
        </xdr:from>
        <xdr:to>
          <xdr:col>3</xdr:col>
          <xdr:colOff>1876425</xdr:colOff>
          <xdr:row>23</xdr:row>
          <xdr:rowOff>247650</xdr:rowOff>
        </xdr:to>
        <xdr:sp macro="" textlink="">
          <xdr:nvSpPr>
            <xdr:cNvPr id="7177" name="ผ้าโซล่าสกรีน บวก 50 ซม." hidden="1">
              <a:extLst>
                <a:ext uri="{63B3BB69-23CF-44E3-9099-C40C66FF867C}">
                  <a14:compatExt spid="_x0000_s7177"/>
                </a:ext>
                <a:ext uri="{FF2B5EF4-FFF2-40B4-BE49-F238E27FC236}">
                  <a16:creationId xmlns:a16="http://schemas.microsoft.com/office/drawing/2014/main" id="{00000000-0008-0000-0300-000009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ม้วนในท่อบวก 30 ซม.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24</xdr:row>
          <xdr:rowOff>9525</xdr:rowOff>
        </xdr:from>
        <xdr:to>
          <xdr:col>3</xdr:col>
          <xdr:colOff>1876425</xdr:colOff>
          <xdr:row>24</xdr:row>
          <xdr:rowOff>209550</xdr:rowOff>
        </xdr:to>
        <xdr:sp macro="" textlink="">
          <xdr:nvSpPr>
            <xdr:cNvPr id="7178" name="Check Box 10" hidden="1">
              <a:extLst>
                <a:ext uri="{63B3BB69-23CF-44E3-9099-C40C66FF867C}">
                  <a14:compatExt spid="_x0000_s7178"/>
                </a:ext>
                <a:ext uri="{FF2B5EF4-FFF2-40B4-BE49-F238E27FC236}">
                  <a16:creationId xmlns:a16="http://schemas.microsoft.com/office/drawing/2014/main" id="{00000000-0008-0000-0300-00000A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ระบายบวก 20 ซม.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161925</xdr:colOff>
          <xdr:row>25</xdr:row>
          <xdr:rowOff>38100</xdr:rowOff>
        </xdr:from>
        <xdr:to>
          <xdr:col>3</xdr:col>
          <xdr:colOff>1847850</xdr:colOff>
          <xdr:row>25</xdr:row>
          <xdr:rowOff>238125</xdr:rowOff>
        </xdr:to>
        <xdr:sp macro="" textlink="">
          <xdr:nvSpPr>
            <xdr:cNvPr id="7179" name="Check Box 11" hidden="1">
              <a:extLst>
                <a:ext uri="{63B3BB69-23CF-44E3-9099-C40C66FF867C}">
                  <a14:compatExt spid="_x0000_s7179"/>
                </a:ext>
                <a:ext uri="{FF2B5EF4-FFF2-40B4-BE49-F238E27FC236}">
                  <a16:creationId xmlns:a16="http://schemas.microsoft.com/office/drawing/2014/main" id="{00000000-0008-0000-0300-00000B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พับริมใส่เชือกบวก 30 ซม.</a:t>
              </a:r>
            </a:p>
          </xdr:txBody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57150</xdr:colOff>
          <xdr:row>8</xdr:row>
          <xdr:rowOff>19050</xdr:rowOff>
        </xdr:from>
        <xdr:to>
          <xdr:col>1</xdr:col>
          <xdr:colOff>666750</xdr:colOff>
          <xdr:row>8</xdr:row>
          <xdr:rowOff>238125</xdr:rowOff>
        </xdr:to>
        <xdr:sp macro="" textlink="">
          <xdr:nvSpPr>
            <xdr:cNvPr id="5124" name="เกียร์ 9:1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4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เกียร์ 9:1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9</xdr:row>
          <xdr:rowOff>19050</xdr:rowOff>
        </xdr:from>
        <xdr:to>
          <xdr:col>1</xdr:col>
          <xdr:colOff>647700</xdr:colOff>
          <xdr:row>9</xdr:row>
          <xdr:rowOff>238125</xdr:rowOff>
        </xdr:to>
        <xdr:sp macro="" textlink="">
          <xdr:nvSpPr>
            <xdr:cNvPr id="5125" name="เกียร์ 13:1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4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เกียร์ 13:1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9</xdr:row>
          <xdr:rowOff>209550</xdr:rowOff>
        </xdr:from>
        <xdr:to>
          <xdr:col>1</xdr:col>
          <xdr:colOff>1314450</xdr:colOff>
          <xdr:row>10</xdr:row>
          <xdr:rowOff>333375</xdr:rowOff>
        </xdr:to>
        <xdr:sp macro="" textlink="">
          <xdr:nvSpPr>
            <xdr:cNvPr id="5128" name="มอเตอร์Somfy / Strong up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04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มอเตอร์ Somfy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10</xdr:row>
          <xdr:rowOff>333375</xdr:rowOff>
        </xdr:from>
        <xdr:to>
          <xdr:col>1</xdr:col>
          <xdr:colOff>1304925</xdr:colOff>
          <xdr:row>11</xdr:row>
          <xdr:rowOff>304800</xdr:rowOff>
        </xdr:to>
        <xdr:sp macro="" textlink="">
          <xdr:nvSpPr>
            <xdr:cNvPr id="5129" name="มอเตอร์Somfy / Strong up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04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มอเตอร์ Spettmann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11</xdr:row>
          <xdr:rowOff>428625</xdr:rowOff>
        </xdr:from>
        <xdr:to>
          <xdr:col>1</xdr:col>
          <xdr:colOff>1314450</xdr:colOff>
          <xdr:row>12</xdr:row>
          <xdr:rowOff>342900</xdr:rowOff>
        </xdr:to>
        <xdr:sp macro="" textlink="">
          <xdr:nvSpPr>
            <xdr:cNvPr id="5130" name="Check Box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04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มอเตอร์ Strong Up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28575</xdr:colOff>
          <xdr:row>12</xdr:row>
          <xdr:rowOff>371475</xdr:rowOff>
        </xdr:from>
        <xdr:to>
          <xdr:col>1</xdr:col>
          <xdr:colOff>1323975</xdr:colOff>
          <xdr:row>13</xdr:row>
          <xdr:rowOff>314325</xdr:rowOff>
        </xdr:to>
        <xdr:sp macro="" textlink="">
          <xdr:nvSpPr>
            <xdr:cNvPr id="5131" name="Check Box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04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มอเตอร์+เกียร์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25</xdr:row>
          <xdr:rowOff>47625</xdr:rowOff>
        </xdr:from>
        <xdr:to>
          <xdr:col>3</xdr:col>
          <xdr:colOff>1876425</xdr:colOff>
          <xdr:row>25</xdr:row>
          <xdr:rowOff>247650</xdr:rowOff>
        </xdr:to>
        <xdr:sp macro="" textlink="">
          <xdr:nvSpPr>
            <xdr:cNvPr id="5132" name="ผ้าโซล่าสกรีน บวก 50 ซม." hidden="1">
              <a:extLst>
                <a:ext uri="{63B3BB69-23CF-44E3-9099-C40C66FF867C}">
                  <a14:compatExt spid="_x0000_s5132"/>
                </a:ext>
                <a:ext uri="{FF2B5EF4-FFF2-40B4-BE49-F238E27FC236}">
                  <a16:creationId xmlns:a16="http://schemas.microsoft.com/office/drawing/2014/main" id="{00000000-0008-0000-0400-00000C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ม้วนในท่อบวก 30 ซม.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190500</xdr:colOff>
          <xdr:row>26</xdr:row>
          <xdr:rowOff>9525</xdr:rowOff>
        </xdr:from>
        <xdr:to>
          <xdr:col>3</xdr:col>
          <xdr:colOff>1876425</xdr:colOff>
          <xdr:row>26</xdr:row>
          <xdr:rowOff>209550</xdr:rowOff>
        </xdr:to>
        <xdr:sp macro="" textlink="">
          <xdr:nvSpPr>
            <xdr:cNvPr id="5134" name="ผ้าโซล่าสกรีน บวก 50 ซม." hidden="1">
              <a:extLst>
                <a:ext uri="{63B3BB69-23CF-44E3-9099-C40C66FF867C}">
                  <a14:compatExt spid="_x0000_s5134"/>
                </a:ext>
                <a:ext uri="{FF2B5EF4-FFF2-40B4-BE49-F238E27FC236}">
                  <a16:creationId xmlns:a16="http://schemas.microsoft.com/office/drawing/2014/main" id="{00000000-0008-0000-0400-00000E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ระบายบวก 20 ซม.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161925</xdr:colOff>
          <xdr:row>27</xdr:row>
          <xdr:rowOff>38100</xdr:rowOff>
        </xdr:from>
        <xdr:to>
          <xdr:col>3</xdr:col>
          <xdr:colOff>1847850</xdr:colOff>
          <xdr:row>27</xdr:row>
          <xdr:rowOff>238125</xdr:rowOff>
        </xdr:to>
        <xdr:sp macro="" textlink="">
          <xdr:nvSpPr>
            <xdr:cNvPr id="5135" name="ผ้าโซล่าสกรีน บวก 50 ซม." hidden="1">
              <a:extLst>
                <a:ext uri="{63B3BB69-23CF-44E3-9099-C40C66FF867C}">
                  <a14:compatExt spid="_x0000_s5135"/>
                </a:ext>
                <a:ext uri="{FF2B5EF4-FFF2-40B4-BE49-F238E27FC236}">
                  <a16:creationId xmlns:a16="http://schemas.microsoft.com/office/drawing/2014/main" id="{00000000-0008-0000-0400-00000F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พับริมใส่เชือกบวก 30 ซม.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.xml"/><Relationship Id="rId3" Type="http://schemas.openxmlformats.org/officeDocument/2006/relationships/ctrlProp" Target="../ctrlProps/ctrlProp8.xml"/><Relationship Id="rId7" Type="http://schemas.openxmlformats.org/officeDocument/2006/relationships/ctrlProp" Target="../ctrlProps/ctrlProp1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trlProp" Target="../ctrlProps/ctrlProp11.xml"/><Relationship Id="rId5" Type="http://schemas.openxmlformats.org/officeDocument/2006/relationships/ctrlProp" Target="../ctrlProps/ctrlProp10.xml"/><Relationship Id="rId10" Type="http://schemas.openxmlformats.org/officeDocument/2006/relationships/ctrlProp" Target="../ctrlProps/ctrlProp15.xml"/><Relationship Id="rId4" Type="http://schemas.openxmlformats.org/officeDocument/2006/relationships/ctrlProp" Target="../ctrlProps/ctrlProp9.xml"/><Relationship Id="rId9" Type="http://schemas.openxmlformats.org/officeDocument/2006/relationships/ctrlProp" Target="../ctrlProps/ctrlProp14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0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8.xml"/><Relationship Id="rId11" Type="http://schemas.openxmlformats.org/officeDocument/2006/relationships/ctrlProp" Target="../ctrlProps/ctrlProp23.xml"/><Relationship Id="rId5" Type="http://schemas.openxmlformats.org/officeDocument/2006/relationships/ctrlProp" Target="../ctrlProps/ctrlProp17.xml"/><Relationship Id="rId10" Type="http://schemas.openxmlformats.org/officeDocument/2006/relationships/ctrlProp" Target="../ctrlProps/ctrlProp22.xml"/><Relationship Id="rId4" Type="http://schemas.openxmlformats.org/officeDocument/2006/relationships/ctrlProp" Target="../ctrlProps/ctrlProp16.xml"/><Relationship Id="rId9" Type="http://schemas.openxmlformats.org/officeDocument/2006/relationships/ctrlProp" Target="../ctrlProps/ctrlProp2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9.xml"/><Relationship Id="rId3" Type="http://schemas.openxmlformats.org/officeDocument/2006/relationships/ctrlProp" Target="../ctrlProps/ctrlProp24.xml"/><Relationship Id="rId7" Type="http://schemas.openxmlformats.org/officeDocument/2006/relationships/ctrlProp" Target="../ctrlProps/ctrlProp28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27.xml"/><Relationship Id="rId11" Type="http://schemas.openxmlformats.org/officeDocument/2006/relationships/ctrlProp" Target="../ctrlProps/ctrlProp32.xml"/><Relationship Id="rId5" Type="http://schemas.openxmlformats.org/officeDocument/2006/relationships/ctrlProp" Target="../ctrlProps/ctrlProp26.xml"/><Relationship Id="rId10" Type="http://schemas.openxmlformats.org/officeDocument/2006/relationships/ctrlProp" Target="../ctrlProps/ctrlProp31.xml"/><Relationship Id="rId4" Type="http://schemas.openxmlformats.org/officeDocument/2006/relationships/ctrlProp" Target="../ctrlProps/ctrlProp25.xml"/><Relationship Id="rId9" Type="http://schemas.openxmlformats.org/officeDocument/2006/relationships/ctrlProp" Target="../ctrlProps/ctrlProp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2CFE-8D32-40BE-99A1-FF0D36FE296B}">
  <dimension ref="F1:F49"/>
  <sheetViews>
    <sheetView workbookViewId="0">
      <selection activeCell="L11" sqref="L11"/>
    </sheetView>
  </sheetViews>
  <sheetFormatPr defaultRowHeight="15"/>
  <sheetData>
    <row r="1" spans="6:6" ht="18">
      <c r="F1" s="67" t="s">
        <v>109</v>
      </c>
    </row>
    <row r="3" spans="6:6">
      <c r="F3" t="s">
        <v>110</v>
      </c>
    </row>
    <row r="4" spans="6:6">
      <c r="F4" t="s">
        <v>111</v>
      </c>
    </row>
    <row r="8" spans="6:6" ht="18">
      <c r="F8" s="67" t="s">
        <v>112</v>
      </c>
    </row>
    <row r="9" spans="6:6">
      <c r="F9" s="68"/>
    </row>
    <row r="10" spans="6:6">
      <c r="F10" s="68" t="s">
        <v>113</v>
      </c>
    </row>
    <row r="11" spans="6:6">
      <c r="F11" s="68"/>
    </row>
    <row r="12" spans="6:6">
      <c r="F12" s="68" t="s">
        <v>114</v>
      </c>
    </row>
    <row r="13" spans="6:6">
      <c r="F13" s="68"/>
    </row>
    <row r="14" spans="6:6">
      <c r="F14" s="68" t="s">
        <v>115</v>
      </c>
    </row>
    <row r="18" spans="6:6" ht="18">
      <c r="F18" s="67" t="s">
        <v>116</v>
      </c>
    </row>
    <row r="19" spans="6:6">
      <c r="F19" s="68"/>
    </row>
    <row r="20" spans="6:6">
      <c r="F20" s="68" t="s">
        <v>117</v>
      </c>
    </row>
    <row r="21" spans="6:6">
      <c r="F21" s="68"/>
    </row>
    <row r="22" spans="6:6">
      <c r="F22" s="68" t="s">
        <v>118</v>
      </c>
    </row>
    <row r="23" spans="6:6">
      <c r="F23" s="68"/>
    </row>
    <row r="24" spans="6:6">
      <c r="F24" s="68" t="s">
        <v>119</v>
      </c>
    </row>
    <row r="25" spans="6:6">
      <c r="F25" s="68"/>
    </row>
    <row r="26" spans="6:6">
      <c r="F26" s="68" t="s">
        <v>120</v>
      </c>
    </row>
    <row r="30" spans="6:6" ht="18">
      <c r="F30" s="67" t="s">
        <v>121</v>
      </c>
    </row>
    <row r="31" spans="6:6">
      <c r="F31" s="68"/>
    </row>
    <row r="32" spans="6:6">
      <c r="F32" s="68" t="s">
        <v>122</v>
      </c>
    </row>
    <row r="33" spans="6:6">
      <c r="F33" s="68"/>
    </row>
    <row r="34" spans="6:6">
      <c r="F34" s="68" t="s">
        <v>123</v>
      </c>
    </row>
    <row r="35" spans="6:6">
      <c r="F35" s="68"/>
    </row>
    <row r="36" spans="6:6">
      <c r="F36" s="68" t="s">
        <v>124</v>
      </c>
    </row>
    <row r="40" spans="6:6" ht="18">
      <c r="F40" s="67" t="s">
        <v>125</v>
      </c>
    </row>
    <row r="41" spans="6:6">
      <c r="F41" s="68"/>
    </row>
    <row r="42" spans="6:6">
      <c r="F42" s="68" t="s">
        <v>126</v>
      </c>
    </row>
    <row r="43" spans="6:6">
      <c r="F43" s="68"/>
    </row>
    <row r="44" spans="6:6">
      <c r="F44" s="68" t="s">
        <v>127</v>
      </c>
    </row>
    <row r="48" spans="6:6">
      <c r="F48" t="s">
        <v>128</v>
      </c>
    </row>
    <row r="49" spans="6:6">
      <c r="F49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1F47D-FCAF-4B44-81E7-90586720E271}">
  <dimension ref="A1:K27"/>
  <sheetViews>
    <sheetView workbookViewId="0">
      <selection activeCell="D11" sqref="D11"/>
    </sheetView>
  </sheetViews>
  <sheetFormatPr defaultColWidth="13.28515625" defaultRowHeight="25.15" customHeight="1"/>
  <cols>
    <col min="1" max="1" width="8.7109375" style="14" customWidth="1"/>
    <col min="2" max="2" width="42.140625" style="1" customWidth="1"/>
    <col min="3" max="3" width="23" style="1" customWidth="1"/>
    <col min="4" max="4" width="36.85546875" style="1" customWidth="1"/>
    <col min="5" max="5" width="16" style="1" bestFit="1" customWidth="1"/>
    <col min="6" max="6" width="21.85546875" style="3" customWidth="1"/>
    <col min="7" max="7" width="4.28515625" style="3" customWidth="1"/>
    <col min="8" max="9" width="15.28515625" style="1" customWidth="1"/>
    <col min="10" max="10" width="31.140625" style="1" hidden="1" customWidth="1"/>
    <col min="11" max="11" width="34.85546875" style="1" hidden="1" customWidth="1"/>
    <col min="12" max="16384" width="13.28515625" style="1"/>
  </cols>
  <sheetData>
    <row r="1" spans="1:11" ht="26.25">
      <c r="D1" s="2" t="s">
        <v>0</v>
      </c>
      <c r="E1" s="2"/>
    </row>
    <row r="2" spans="1:11" s="3" customFormat="1" ht="21.75" thickBot="1">
      <c r="A2" s="6"/>
      <c r="B2" s="1" t="s">
        <v>1</v>
      </c>
      <c r="C2" s="1"/>
    </row>
    <row r="3" spans="1:11" ht="27" thickBot="1">
      <c r="B3" s="4" t="s">
        <v>36</v>
      </c>
      <c r="C3" s="5"/>
    </row>
    <row r="4" spans="1:11" ht="21.75" thickBot="1">
      <c r="C4" s="3"/>
      <c r="D4" s="3" t="s">
        <v>2</v>
      </c>
      <c r="E4" s="6" t="s">
        <v>61</v>
      </c>
    </row>
    <row r="5" spans="1:11" ht="21.75" thickBot="1">
      <c r="B5" s="1" t="s">
        <v>3</v>
      </c>
      <c r="C5" s="7" t="s">
        <v>60</v>
      </c>
      <c r="D5" s="63">
        <v>500</v>
      </c>
      <c r="E5" s="65">
        <v>1</v>
      </c>
    </row>
    <row r="6" spans="1:11" ht="21.75" thickBot="1">
      <c r="B6" s="64" t="s">
        <v>51</v>
      </c>
      <c r="C6" s="7" t="s">
        <v>59</v>
      </c>
      <c r="D6" s="45">
        <f>VLOOKUP(TRIM(B6),$J$8:$K$14,2,FALSE)</f>
        <v>300</v>
      </c>
      <c r="E6" s="71" t="s">
        <v>4</v>
      </c>
      <c r="F6" s="72"/>
      <c r="J6" s="43"/>
      <c r="K6" s="43"/>
    </row>
    <row r="7" spans="1:11" ht="21.75" thickBot="1">
      <c r="H7" s="8"/>
      <c r="I7" s="8"/>
      <c r="J7" s="44" t="s">
        <v>48</v>
      </c>
      <c r="K7" s="44" t="s">
        <v>49</v>
      </c>
    </row>
    <row r="8" spans="1:11" ht="21">
      <c r="A8" s="9" t="s">
        <v>5</v>
      </c>
      <c r="B8" s="39" t="s">
        <v>6</v>
      </c>
      <c r="C8" s="10" t="s">
        <v>7</v>
      </c>
      <c r="D8" s="11"/>
      <c r="E8" s="41" t="s">
        <v>8</v>
      </c>
      <c r="F8" s="12" t="s">
        <v>9</v>
      </c>
      <c r="G8" s="73" t="s">
        <v>10</v>
      </c>
      <c r="J8" s="1" t="s">
        <v>50</v>
      </c>
      <c r="K8" s="1">
        <v>250</v>
      </c>
    </row>
    <row r="9" spans="1:11" ht="21">
      <c r="B9" s="15" t="b">
        <v>1</v>
      </c>
      <c r="C9" s="76">
        <f>D5</f>
        <v>500</v>
      </c>
      <c r="D9" s="15" t="s">
        <v>37</v>
      </c>
      <c r="E9" s="12" t="s">
        <v>38</v>
      </c>
      <c r="F9" s="16"/>
      <c r="G9" s="74"/>
      <c r="J9" s="1" t="s">
        <v>51</v>
      </c>
      <c r="K9" s="1">
        <v>300</v>
      </c>
    </row>
    <row r="10" spans="1:11" ht="21">
      <c r="B10" s="15" t="b">
        <v>0</v>
      </c>
      <c r="C10" s="77"/>
      <c r="D10" s="15" t="s">
        <v>47</v>
      </c>
      <c r="E10" s="12" t="s">
        <v>11</v>
      </c>
      <c r="F10" s="17"/>
      <c r="G10" s="74"/>
      <c r="J10" s="1" t="s">
        <v>53</v>
      </c>
      <c r="K10" s="1">
        <v>200</v>
      </c>
    </row>
    <row r="11" spans="1:11" ht="39" customHeight="1">
      <c r="B11" s="15" t="b">
        <v>0</v>
      </c>
      <c r="C11" s="77"/>
      <c r="D11" s="42" t="s">
        <v>57</v>
      </c>
      <c r="E11" s="12" t="s">
        <v>39</v>
      </c>
      <c r="F11" s="17"/>
      <c r="G11" s="74"/>
      <c r="J11" s="1" t="s">
        <v>52</v>
      </c>
      <c r="K11" s="1">
        <v>150</v>
      </c>
    </row>
    <row r="12" spans="1:11" ht="36" customHeight="1">
      <c r="B12" s="15" t="b">
        <v>0</v>
      </c>
      <c r="C12" s="77"/>
      <c r="D12" s="42" t="s">
        <v>40</v>
      </c>
      <c r="E12" s="12" t="s">
        <v>38</v>
      </c>
      <c r="F12" s="17"/>
      <c r="G12" s="74"/>
      <c r="J12" s="1" t="s">
        <v>54</v>
      </c>
      <c r="K12" s="1">
        <v>120</v>
      </c>
    </row>
    <row r="13" spans="1:11" ht="33.75" customHeight="1">
      <c r="B13" s="15" t="b">
        <v>0</v>
      </c>
      <c r="C13" s="78"/>
      <c r="D13" s="42" t="s">
        <v>41</v>
      </c>
      <c r="E13" s="12" t="s">
        <v>42</v>
      </c>
      <c r="F13" s="18"/>
      <c r="G13" s="74"/>
      <c r="J13" s="1" t="s">
        <v>55</v>
      </c>
      <c r="K13" s="1">
        <v>250</v>
      </c>
    </row>
    <row r="14" spans="1:11" ht="21">
      <c r="B14" s="3" t="str">
        <f>IF(COUNTIF(B9:B13,TRUE)&gt;1,"RESET","OK")</f>
        <v>OK</v>
      </c>
      <c r="C14" s="3"/>
      <c r="D14" s="79" t="s">
        <v>12</v>
      </c>
      <c r="E14" s="80"/>
      <c r="F14" s="19">
        <f>C9
 -IF(B9,9,0)
 -IF(B10,11,0)
 -IF(B11,8,0)
 -IF(B12,9,0)
 -IF(B13,9.5,0)</f>
        <v>491</v>
      </c>
      <c r="G14" s="75"/>
      <c r="H14" s="1" t="s">
        <v>13</v>
      </c>
      <c r="J14" s="1" t="s">
        <v>56</v>
      </c>
      <c r="K14" s="1">
        <v>300</v>
      </c>
    </row>
    <row r="15" spans="1:11" s="27" customFormat="1" ht="21">
      <c r="A15" s="20"/>
      <c r="B15" s="21"/>
      <c r="C15" s="22"/>
      <c r="D15" s="23"/>
      <c r="E15" s="24"/>
      <c r="F15" s="25"/>
      <c r="G15" s="26"/>
      <c r="I15" s="28"/>
    </row>
    <row r="16" spans="1:11" ht="21">
      <c r="A16" s="9" t="s">
        <v>14</v>
      </c>
      <c r="B16" s="29" t="s">
        <v>15</v>
      </c>
      <c r="C16" s="12" t="s">
        <v>16</v>
      </c>
      <c r="D16" s="15" t="s">
        <v>17</v>
      </c>
      <c r="E16" s="12" t="s">
        <v>18</v>
      </c>
      <c r="F16" s="19">
        <f>F14+6</f>
        <v>497</v>
      </c>
      <c r="G16" s="29" t="s">
        <v>19</v>
      </c>
      <c r="H16" s="1" t="s">
        <v>13</v>
      </c>
      <c r="I16" s="8"/>
    </row>
    <row r="17" spans="1:11" ht="21">
      <c r="B17" s="11"/>
      <c r="C17" s="11"/>
      <c r="D17" s="11"/>
      <c r="E17" s="11"/>
      <c r="F17" s="12"/>
      <c r="G17" s="12"/>
      <c r="I17" s="8"/>
    </row>
    <row r="18" spans="1:11" ht="21">
      <c r="A18" s="9" t="s">
        <v>20</v>
      </c>
      <c r="B18" s="13" t="s">
        <v>21</v>
      </c>
      <c r="C18" s="81" t="s">
        <v>22</v>
      </c>
      <c r="D18" s="82"/>
      <c r="E18" s="15" t="s">
        <v>23</v>
      </c>
      <c r="F18" s="30"/>
      <c r="G18" s="12"/>
      <c r="K18" s="1" t="s">
        <v>62</v>
      </c>
    </row>
    <row r="19" spans="1:11" ht="21">
      <c r="B19" s="3"/>
      <c r="C19" s="3"/>
      <c r="D19" s="88" t="s">
        <v>24</v>
      </c>
      <c r="E19" s="84"/>
      <c r="F19" s="30">
        <f>ROUNDUP(F16/D6,0)</f>
        <v>2</v>
      </c>
      <c r="G19" s="29" t="s">
        <v>25</v>
      </c>
      <c r="H19" s="1" t="s">
        <v>26</v>
      </c>
      <c r="I19" s="8"/>
    </row>
    <row r="20" spans="1:11" ht="21">
      <c r="B20" s="35"/>
      <c r="C20" s="35"/>
      <c r="D20" s="36"/>
      <c r="E20" s="36"/>
      <c r="F20" s="37"/>
      <c r="G20" s="37"/>
      <c r="I20" s="8"/>
    </row>
    <row r="21" spans="1:11" ht="21">
      <c r="A21" s="9" t="s">
        <v>27</v>
      </c>
      <c r="B21" s="29" t="s">
        <v>28</v>
      </c>
      <c r="C21" s="12"/>
      <c r="D21" s="15" t="s">
        <v>29</v>
      </c>
      <c r="E21" s="12" t="s">
        <v>30</v>
      </c>
      <c r="F21" s="19">
        <f>F19*E5</f>
        <v>2</v>
      </c>
      <c r="G21" s="29" t="s">
        <v>31</v>
      </c>
      <c r="H21" s="1" t="s">
        <v>26</v>
      </c>
      <c r="I21" s="8"/>
    </row>
    <row r="22" spans="1:11" ht="21.75" thickBot="1">
      <c r="B22" s="3"/>
      <c r="C22" s="31"/>
      <c r="D22" s="3"/>
      <c r="E22" s="3"/>
      <c r="G22" s="1"/>
      <c r="I22" s="8"/>
    </row>
    <row r="23" spans="1:11" ht="21">
      <c r="A23" s="9" t="s">
        <v>32</v>
      </c>
      <c r="B23" s="10" t="s">
        <v>58</v>
      </c>
      <c r="C23" s="62">
        <v>400</v>
      </c>
      <c r="D23" s="40" t="s">
        <v>46</v>
      </c>
      <c r="E23" s="41" t="s">
        <v>8</v>
      </c>
      <c r="F23" s="16" t="s">
        <v>9</v>
      </c>
      <c r="H23" s="1" t="s">
        <v>33</v>
      </c>
      <c r="I23" s="8"/>
    </row>
    <row r="24" spans="1:11" ht="38.25" customHeight="1">
      <c r="B24" s="85">
        <f>C23</f>
        <v>400</v>
      </c>
      <c r="C24" s="86" t="s">
        <v>43</v>
      </c>
      <c r="D24" s="34" t="b">
        <v>1</v>
      </c>
      <c r="E24" s="32" t="s">
        <v>44</v>
      </c>
      <c r="F24" s="16"/>
      <c r="I24" s="8"/>
    </row>
    <row r="25" spans="1:11" ht="39.75" customHeight="1">
      <c r="B25" s="70"/>
      <c r="C25" s="87"/>
      <c r="D25" s="34" t="b">
        <v>0</v>
      </c>
      <c r="E25" s="32" t="s">
        <v>45</v>
      </c>
      <c r="F25" s="17"/>
      <c r="I25" s="8"/>
    </row>
    <row r="26" spans="1:11" ht="33" customHeight="1">
      <c r="B26" s="38"/>
      <c r="C26" s="38"/>
      <c r="D26" s="79" t="s">
        <v>34</v>
      </c>
      <c r="E26" s="80"/>
      <c r="F26" s="33">
        <f>B24
 +IF(D24,50,0)
+IF(D25,60,0)</f>
        <v>450</v>
      </c>
      <c r="G26" s="29" t="s">
        <v>35</v>
      </c>
      <c r="H26" s="1" t="s">
        <v>13</v>
      </c>
      <c r="I26" s="8"/>
    </row>
    <row r="27" spans="1:11" ht="21">
      <c r="B27" s="3"/>
      <c r="C27" s="3"/>
      <c r="F27" s="1"/>
      <c r="G27" s="1"/>
      <c r="I27" s="8"/>
    </row>
  </sheetData>
  <mergeCells count="9">
    <mergeCell ref="B24:B25"/>
    <mergeCell ref="C24:C25"/>
    <mergeCell ref="D26:E26"/>
    <mergeCell ref="E6:F6"/>
    <mergeCell ref="G8:G14"/>
    <mergeCell ref="C9:C13"/>
    <mergeCell ref="D14:E14"/>
    <mergeCell ref="C18:D18"/>
    <mergeCell ref="D19:E19"/>
  </mergeCells>
  <dataValidations count="1">
    <dataValidation type="list" allowBlank="1" showInputMessage="1" showErrorMessage="1" promptTitle="ชนิดผ้า" prompt="เลือกจากลูกศรด้านขวา" sqref="B6" xr:uid="{3567B431-BC5F-4B5F-92E3-9E5375012FA3}">
      <formula1>"Solar Screen 2.50 meter, Solar Screen 3.00 meter, Solar Sand 2.00 meter,Solar View 1.50 meter,Acrylic 1.20 meter, Suntex 2.50 meter, Suntex 3.00 meter"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เกียร์ 9:1">
              <controlPr defaultSize="0" autoFill="0" autoLine="0" autoPict="0">
                <anchor moveWithCells="1">
                  <from>
                    <xdr:col>1</xdr:col>
                    <xdr:colOff>66675</xdr:colOff>
                    <xdr:row>8</xdr:row>
                    <xdr:rowOff>28575</xdr:rowOff>
                  </from>
                  <to>
                    <xdr:col>1</xdr:col>
                    <xdr:colOff>676275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เกียร์ 13:1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47625</xdr:rowOff>
                  </from>
                  <to>
                    <xdr:col>1</xdr:col>
                    <xdr:colOff>657225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มอเตอร์Somfy / Strong up">
              <controlPr defaultSize="0" autoFill="0" autoLine="0" autoPict="0">
                <anchor moveWithCells="1">
                  <from>
                    <xdr:col>1</xdr:col>
                    <xdr:colOff>19050</xdr:colOff>
                    <xdr:row>10</xdr:row>
                    <xdr:rowOff>28575</xdr:rowOff>
                  </from>
                  <to>
                    <xdr:col>1</xdr:col>
                    <xdr:colOff>1314450</xdr:colOff>
                    <xdr:row>10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7" name="มอเตอร์ Spettmann">
              <controlPr defaultSize="0" autoFill="0" autoLine="0" autoPict="0">
                <anchor moveWithCells="1">
                  <from>
                    <xdr:col>1</xdr:col>
                    <xdr:colOff>19050</xdr:colOff>
                    <xdr:row>11</xdr:row>
                    <xdr:rowOff>9525</xdr:rowOff>
                  </from>
                  <to>
                    <xdr:col>1</xdr:col>
                    <xdr:colOff>1428750</xdr:colOff>
                    <xdr:row>11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8" name="มอเตอร์ มอเตอร์+เกียร์">
              <controlPr defaultSize="0" autoFill="0" autoLine="0" autoPict="0">
                <anchor moveWithCells="1">
                  <from>
                    <xdr:col>1</xdr:col>
                    <xdr:colOff>19050</xdr:colOff>
                    <xdr:row>12</xdr:row>
                    <xdr:rowOff>28575</xdr:rowOff>
                  </from>
                  <to>
                    <xdr:col>1</xdr:col>
                    <xdr:colOff>1781175</xdr:colOff>
                    <xdr:row>12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9" name="ผ้าโซล่าสกรีน บวก 50 ซม.">
              <controlPr defaultSize="0" autoFill="0" autoLine="0" autoPict="0">
                <anchor moveWithCells="1">
                  <from>
                    <xdr:col>3</xdr:col>
                    <xdr:colOff>133350</xdr:colOff>
                    <xdr:row>23</xdr:row>
                    <xdr:rowOff>38100</xdr:rowOff>
                  </from>
                  <to>
                    <xdr:col>3</xdr:col>
                    <xdr:colOff>1819275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0" name="ผ้าอื่นๆ บวก 60 ซม.">
              <controlPr defaultSize="0" autoFill="0" autoLine="0" autoPict="0">
                <anchor moveWithCells="1">
                  <from>
                    <xdr:col>3</xdr:col>
                    <xdr:colOff>152400</xdr:colOff>
                    <xdr:row>24</xdr:row>
                    <xdr:rowOff>19050</xdr:rowOff>
                  </from>
                  <to>
                    <xdr:col>3</xdr:col>
                    <xdr:colOff>1666875</xdr:colOff>
                    <xdr:row>24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49C22-130B-451D-BD76-7DAFBCD03A4E}">
  <dimension ref="A1:K28"/>
  <sheetViews>
    <sheetView topLeftCell="A13" workbookViewId="0">
      <selection activeCell="F27" sqref="F27"/>
    </sheetView>
  </sheetViews>
  <sheetFormatPr defaultColWidth="13.28515625" defaultRowHeight="25.15" customHeight="1"/>
  <cols>
    <col min="1" max="1" width="7.28515625" style="1" bestFit="1" customWidth="1"/>
    <col min="2" max="2" width="34.140625" style="1" bestFit="1" customWidth="1"/>
    <col min="3" max="3" width="21.7109375" style="1" bestFit="1" customWidth="1"/>
    <col min="4" max="4" width="36.42578125" style="1" bestFit="1" customWidth="1"/>
    <col min="5" max="5" width="16" style="1" bestFit="1" customWidth="1"/>
    <col min="6" max="6" width="13.42578125" style="3" customWidth="1"/>
    <col min="7" max="7" width="4.28515625" style="3" customWidth="1"/>
    <col min="8" max="9" width="15.28515625" style="1" customWidth="1"/>
    <col min="10" max="10" width="31.140625" style="1" hidden="1" customWidth="1"/>
    <col min="11" max="11" width="0" style="1" hidden="1" customWidth="1"/>
    <col min="12" max="16384" width="13.28515625" style="1"/>
  </cols>
  <sheetData>
    <row r="1" spans="1:11" ht="26.25">
      <c r="D1" s="2" t="s">
        <v>0</v>
      </c>
      <c r="E1" s="2"/>
    </row>
    <row r="2" spans="1:11" s="3" customFormat="1" ht="21.75" thickBot="1">
      <c r="B2" s="1" t="s">
        <v>1</v>
      </c>
      <c r="C2" s="1"/>
    </row>
    <row r="3" spans="1:11" ht="27" thickBot="1">
      <c r="B3" s="4" t="s">
        <v>84</v>
      </c>
      <c r="C3" s="5"/>
    </row>
    <row r="4" spans="1:11" ht="21.75" thickBot="1">
      <c r="C4" s="3"/>
      <c r="D4" s="3" t="s">
        <v>2</v>
      </c>
      <c r="E4" s="6" t="s">
        <v>97</v>
      </c>
    </row>
    <row r="5" spans="1:11" ht="21.75" thickBot="1">
      <c r="B5" s="1" t="s">
        <v>3</v>
      </c>
      <c r="C5" s="7" t="s">
        <v>95</v>
      </c>
      <c r="D5" s="63">
        <v>700</v>
      </c>
      <c r="E5" s="63">
        <v>1</v>
      </c>
    </row>
    <row r="6" spans="1:11" ht="21.75" thickBot="1">
      <c r="B6" s="64" t="s">
        <v>54</v>
      </c>
      <c r="C6" s="7" t="s">
        <v>96</v>
      </c>
      <c r="D6" s="45">
        <f>VLOOKUP(TRIM(B6),$J$8:$K$16,2,FALSE)</f>
        <v>120</v>
      </c>
      <c r="E6" s="71" t="s">
        <v>4</v>
      </c>
      <c r="F6" s="72"/>
    </row>
    <row r="7" spans="1:11" ht="21.75" thickBot="1">
      <c r="H7" s="8"/>
      <c r="I7" s="8"/>
    </row>
    <row r="8" spans="1:11" ht="30">
      <c r="A8" s="9" t="s">
        <v>5</v>
      </c>
      <c r="B8" s="49" t="s">
        <v>6</v>
      </c>
      <c r="C8" s="10" t="s">
        <v>7</v>
      </c>
      <c r="D8" s="11"/>
      <c r="E8" s="11" t="s">
        <v>8</v>
      </c>
      <c r="F8" s="12" t="s">
        <v>9</v>
      </c>
      <c r="G8" s="73" t="s">
        <v>10</v>
      </c>
      <c r="J8" s="44" t="s">
        <v>48</v>
      </c>
      <c r="K8" s="44" t="s">
        <v>49</v>
      </c>
    </row>
    <row r="9" spans="1:11" ht="24" customHeight="1">
      <c r="A9" s="14"/>
      <c r="B9" s="15" t="b">
        <v>0</v>
      </c>
      <c r="C9" s="76">
        <f>D5</f>
        <v>700</v>
      </c>
      <c r="D9" s="15" t="s">
        <v>85</v>
      </c>
      <c r="E9" s="12" t="s">
        <v>86</v>
      </c>
      <c r="F9" s="16"/>
      <c r="G9" s="74"/>
      <c r="J9" s="1" t="s">
        <v>50</v>
      </c>
      <c r="K9" s="1">
        <v>250</v>
      </c>
    </row>
    <row r="10" spans="1:11" ht="21">
      <c r="A10" s="14"/>
      <c r="B10" s="15" t="b">
        <v>0</v>
      </c>
      <c r="C10" s="77"/>
      <c r="D10" s="15" t="s">
        <v>87</v>
      </c>
      <c r="E10" s="12" t="s">
        <v>88</v>
      </c>
      <c r="F10" s="17"/>
      <c r="G10" s="74"/>
      <c r="J10" s="1" t="s">
        <v>51</v>
      </c>
      <c r="K10" s="1">
        <v>300</v>
      </c>
    </row>
    <row r="11" spans="1:11" ht="38.25" customHeight="1">
      <c r="A11" s="14"/>
      <c r="B11" s="15" t="b">
        <v>1</v>
      </c>
      <c r="C11" s="77"/>
      <c r="D11" s="15" t="s">
        <v>89</v>
      </c>
      <c r="E11" s="12" t="s">
        <v>11</v>
      </c>
      <c r="F11" s="17"/>
      <c r="G11" s="74"/>
      <c r="J11" s="1" t="s">
        <v>53</v>
      </c>
      <c r="K11" s="1">
        <v>200</v>
      </c>
    </row>
    <row r="12" spans="1:11" ht="37.5" customHeight="1">
      <c r="A12" s="14"/>
      <c r="B12" s="15" t="b">
        <v>0</v>
      </c>
      <c r="C12" s="77"/>
      <c r="D12" s="15" t="s">
        <v>85</v>
      </c>
      <c r="E12" s="12" t="s">
        <v>86</v>
      </c>
      <c r="F12" s="17"/>
      <c r="G12" s="74"/>
      <c r="J12" s="1" t="s">
        <v>52</v>
      </c>
      <c r="K12" s="1">
        <v>150</v>
      </c>
    </row>
    <row r="13" spans="1:11" ht="33.75" customHeight="1">
      <c r="A13" s="14"/>
      <c r="B13" s="15" t="b">
        <v>0</v>
      </c>
      <c r="C13" s="78"/>
      <c r="D13" s="15" t="s">
        <v>90</v>
      </c>
      <c r="E13" s="12" t="s">
        <v>91</v>
      </c>
      <c r="F13" s="18"/>
      <c r="G13" s="74"/>
      <c r="J13" s="1" t="s">
        <v>54</v>
      </c>
      <c r="K13" s="1">
        <v>120</v>
      </c>
    </row>
    <row r="14" spans="1:11" ht="21">
      <c r="A14" s="14"/>
      <c r="B14" s="3" t="str">
        <f>IF(COUNTIF(B9:B13,TRUE)&gt;1,"RESET","OK")</f>
        <v>OK</v>
      </c>
      <c r="C14" s="3"/>
      <c r="D14" s="79" t="s">
        <v>12</v>
      </c>
      <c r="E14" s="80"/>
      <c r="F14" s="19">
        <f>C9
 -IF(B9,12,0)
 -IF(B10,14,0)
 -IF(B11,11,0)
 -IF(B12,12,0)
 -IF(B13,12.5,0)</f>
        <v>689</v>
      </c>
      <c r="G14" s="75"/>
      <c r="H14" s="1" t="s">
        <v>13</v>
      </c>
      <c r="J14" s="1" t="s">
        <v>55</v>
      </c>
      <c r="K14" s="1">
        <v>250</v>
      </c>
    </row>
    <row r="15" spans="1:11" s="27" customFormat="1" ht="21">
      <c r="A15" s="20"/>
      <c r="B15" s="21"/>
      <c r="C15" s="22"/>
      <c r="D15" s="23"/>
      <c r="E15" s="24"/>
      <c r="F15" s="25"/>
      <c r="G15" s="26"/>
      <c r="I15" s="28"/>
      <c r="J15" s="1" t="s">
        <v>56</v>
      </c>
      <c r="K15" s="1">
        <v>300</v>
      </c>
    </row>
    <row r="16" spans="1:11" ht="21">
      <c r="A16" s="9" t="s">
        <v>14</v>
      </c>
      <c r="B16" s="29" t="s">
        <v>15</v>
      </c>
      <c r="C16" s="12" t="s">
        <v>16</v>
      </c>
      <c r="D16" s="15" t="s">
        <v>17</v>
      </c>
      <c r="E16" s="12" t="s">
        <v>18</v>
      </c>
      <c r="F16" s="19">
        <f>F14+6</f>
        <v>695</v>
      </c>
      <c r="G16" s="13" t="s">
        <v>19</v>
      </c>
      <c r="H16" s="1" t="s">
        <v>13</v>
      </c>
      <c r="I16" s="8"/>
      <c r="J16" s="58" t="s">
        <v>80</v>
      </c>
      <c r="K16" s="27">
        <v>113</v>
      </c>
    </row>
    <row r="17" spans="1:9" ht="21">
      <c r="A17" s="14"/>
      <c r="I17" s="8"/>
    </row>
    <row r="18" spans="1:9" ht="21">
      <c r="A18" s="9" t="s">
        <v>20</v>
      </c>
      <c r="B18" s="29" t="s">
        <v>21</v>
      </c>
      <c r="C18" s="81" t="s">
        <v>22</v>
      </c>
      <c r="D18" s="82"/>
      <c r="E18" s="15" t="s">
        <v>23</v>
      </c>
      <c r="F18" s="30"/>
      <c r="G18" s="12"/>
    </row>
    <row r="19" spans="1:9" ht="21">
      <c r="A19" s="14"/>
      <c r="B19" s="51"/>
      <c r="C19" s="3"/>
      <c r="D19" s="83" t="s">
        <v>24</v>
      </c>
      <c r="E19" s="84"/>
      <c r="F19" s="19">
        <f>ROUNDUP(F16/D6,0)</f>
        <v>6</v>
      </c>
      <c r="G19" s="13" t="s">
        <v>25</v>
      </c>
      <c r="H19" s="1" t="s">
        <v>26</v>
      </c>
      <c r="I19" s="8"/>
    </row>
    <row r="20" spans="1:9" ht="21">
      <c r="A20" s="14"/>
      <c r="B20" s="3"/>
      <c r="C20" s="3"/>
      <c r="I20" s="8"/>
    </row>
    <row r="21" spans="1:9" ht="21">
      <c r="A21" s="9" t="s">
        <v>27</v>
      </c>
      <c r="B21" s="29" t="s">
        <v>28</v>
      </c>
      <c r="C21" s="12"/>
      <c r="D21" s="15" t="s">
        <v>29</v>
      </c>
      <c r="E21" s="12" t="s">
        <v>30</v>
      </c>
      <c r="F21" s="19">
        <f>F19*E5</f>
        <v>6</v>
      </c>
      <c r="G21" s="29" t="s">
        <v>31</v>
      </c>
      <c r="H21" s="1" t="s">
        <v>26</v>
      </c>
      <c r="I21" s="8"/>
    </row>
    <row r="22" spans="1:9" ht="21.75" thickBot="1">
      <c r="A22" s="14"/>
      <c r="B22" s="3"/>
      <c r="C22" s="31"/>
      <c r="D22" s="3"/>
      <c r="E22" s="3"/>
      <c r="G22" s="1"/>
      <c r="I22" s="8"/>
    </row>
    <row r="23" spans="1:9" ht="21.75" thickBot="1">
      <c r="A23" s="9" t="s">
        <v>32</v>
      </c>
      <c r="B23" s="59" t="s">
        <v>98</v>
      </c>
      <c r="C23" s="62">
        <v>200</v>
      </c>
      <c r="D23" s="12"/>
      <c r="E23" s="11" t="s">
        <v>8</v>
      </c>
      <c r="F23" s="16" t="s">
        <v>9</v>
      </c>
      <c r="I23" s="8"/>
    </row>
    <row r="24" spans="1:9" ht="33.75" customHeight="1">
      <c r="A24" s="14"/>
      <c r="B24" s="69">
        <f>C23</f>
        <v>200</v>
      </c>
      <c r="D24" s="48" t="b">
        <v>1</v>
      </c>
      <c r="E24" s="32">
        <v>30</v>
      </c>
      <c r="F24" s="16"/>
      <c r="I24" s="8"/>
    </row>
    <row r="25" spans="1:9" ht="33.75" customHeight="1">
      <c r="A25" s="14"/>
      <c r="B25" s="69"/>
      <c r="D25" s="48" t="b">
        <v>1</v>
      </c>
      <c r="E25" s="32">
        <v>20</v>
      </c>
      <c r="F25" s="17"/>
      <c r="I25" s="8"/>
    </row>
    <row r="26" spans="1:9" ht="33.75" customHeight="1">
      <c r="A26" s="14"/>
      <c r="B26" s="70"/>
      <c r="D26" s="48" t="b">
        <v>0</v>
      </c>
      <c r="E26" s="32">
        <v>30</v>
      </c>
      <c r="F26" s="17"/>
      <c r="I26" s="8"/>
    </row>
    <row r="27" spans="1:9" ht="21">
      <c r="A27" s="14"/>
      <c r="B27" s="29"/>
      <c r="C27" s="29"/>
      <c r="D27" s="29" t="s">
        <v>34</v>
      </c>
      <c r="E27" s="56" t="s">
        <v>92</v>
      </c>
      <c r="F27" s="33">
        <f>B24
 +IF(D24,30,0)
+IF(D25,20,0)+IF(D26,30,0)</f>
        <v>250</v>
      </c>
      <c r="G27" s="29" t="s">
        <v>35</v>
      </c>
      <c r="H27" s="1" t="s">
        <v>13</v>
      </c>
      <c r="I27" s="8"/>
    </row>
    <row r="28" spans="1:9" ht="21">
      <c r="B28" s="3"/>
      <c r="C28" s="3"/>
      <c r="D28" s="3"/>
      <c r="E28" s="3"/>
      <c r="I28" s="8"/>
    </row>
  </sheetData>
  <mergeCells count="7">
    <mergeCell ref="B24:B26"/>
    <mergeCell ref="E6:F6"/>
    <mergeCell ref="G8:G14"/>
    <mergeCell ref="C9:C13"/>
    <mergeCell ref="D14:E14"/>
    <mergeCell ref="C18:D18"/>
    <mergeCell ref="D19:E19"/>
  </mergeCells>
  <dataValidations count="1">
    <dataValidation type="list" allowBlank="1" showInputMessage="1" showErrorMessage="1" promptTitle="ชนิดผ้า" prompt="เลือกผ้าจากการกดลูกศรด้านขวา" sqref="B6" xr:uid="{D9F5266B-9BA3-4D96-B339-C9BBAB728614}">
      <formula1>"Solar Screen 2.50 meter, Solar Screen 3.00 meter, Solar Sand 2.00 meter,Solar View 1.50 meter,Acrylic 1.20 meter, Suntex 2.50 meter, Suntex 3.00 meter,PVC HC 1.13 meter"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51" r:id="rId3" name="เกียร์ 9:1">
              <controlPr defaultSize="0" autoFill="0" autoLine="0" autoPict="0">
                <anchor moveWithCells="1">
                  <from>
                    <xdr:col>1</xdr:col>
                    <xdr:colOff>66675</xdr:colOff>
                    <xdr:row>8</xdr:row>
                    <xdr:rowOff>28575</xdr:rowOff>
                  </from>
                  <to>
                    <xdr:col>1</xdr:col>
                    <xdr:colOff>676275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4" name="เกียร์ 13:1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47625</xdr:rowOff>
                  </from>
                  <to>
                    <xdr:col>1</xdr:col>
                    <xdr:colOff>657225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5" name="มอเตอร์Somfy / Strong up">
              <controlPr defaultSize="0" autoFill="0" autoLine="0" autoPict="0">
                <anchor moveWithCells="1">
                  <from>
                    <xdr:col>1</xdr:col>
                    <xdr:colOff>19050</xdr:colOff>
                    <xdr:row>10</xdr:row>
                    <xdr:rowOff>28575</xdr:rowOff>
                  </from>
                  <to>
                    <xdr:col>1</xdr:col>
                    <xdr:colOff>1314450</xdr:colOff>
                    <xdr:row>10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6" name="มอเตอร์ Spettmann">
              <controlPr defaultSize="0" autoFill="0" autoLine="0" autoPict="0">
                <anchor moveWithCells="1">
                  <from>
                    <xdr:col>1</xdr:col>
                    <xdr:colOff>19050</xdr:colOff>
                    <xdr:row>11</xdr:row>
                    <xdr:rowOff>9525</xdr:rowOff>
                  </from>
                  <to>
                    <xdr:col>1</xdr:col>
                    <xdr:colOff>1428750</xdr:colOff>
                    <xdr:row>11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7" name="มอเตอร์ มอเตอร์+เกียร์">
              <controlPr defaultSize="0" autoFill="0" autoLine="0" autoPict="0">
                <anchor moveWithCells="1">
                  <from>
                    <xdr:col>1</xdr:col>
                    <xdr:colOff>19050</xdr:colOff>
                    <xdr:row>12</xdr:row>
                    <xdr:rowOff>28575</xdr:rowOff>
                  </from>
                  <to>
                    <xdr:col>1</xdr:col>
                    <xdr:colOff>1781175</xdr:colOff>
                    <xdr:row>12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8" name="ผ้าโซล่าสกรีน บวก 50 ซม.">
              <controlPr defaultSize="0" autoFill="0" autoLine="0" autoPict="0">
                <anchor moveWithCells="1">
                  <from>
                    <xdr:col>3</xdr:col>
                    <xdr:colOff>190500</xdr:colOff>
                    <xdr:row>23</xdr:row>
                    <xdr:rowOff>47625</xdr:rowOff>
                  </from>
                  <to>
                    <xdr:col>3</xdr:col>
                    <xdr:colOff>1876425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9" name="Check Box 13">
              <controlPr defaultSize="0" autoFill="0" autoLine="0" autoPict="0">
                <anchor moveWithCells="1">
                  <from>
                    <xdr:col>3</xdr:col>
                    <xdr:colOff>190500</xdr:colOff>
                    <xdr:row>24</xdr:row>
                    <xdr:rowOff>9525</xdr:rowOff>
                  </from>
                  <to>
                    <xdr:col>3</xdr:col>
                    <xdr:colOff>1876425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0" name="Check Box 14">
              <controlPr defaultSize="0" autoFill="0" autoLine="0" autoPict="0">
                <anchor moveWithCells="1">
                  <from>
                    <xdr:col>3</xdr:col>
                    <xdr:colOff>161925</xdr:colOff>
                    <xdr:row>25</xdr:row>
                    <xdr:rowOff>38100</xdr:rowOff>
                  </from>
                  <to>
                    <xdr:col>3</xdr:col>
                    <xdr:colOff>1847850</xdr:colOff>
                    <xdr:row>25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DD2ED-3141-4FC1-85F8-9C367A7CA20A}">
  <dimension ref="A1:K28"/>
  <sheetViews>
    <sheetView workbookViewId="0">
      <selection activeCell="B6" sqref="B6"/>
    </sheetView>
  </sheetViews>
  <sheetFormatPr defaultColWidth="13.28515625" defaultRowHeight="25.15" customHeight="1"/>
  <cols>
    <col min="1" max="1" width="8.7109375" style="14" customWidth="1"/>
    <col min="2" max="2" width="34.5703125" style="1" customWidth="1"/>
    <col min="3" max="3" width="25.28515625" style="1" customWidth="1"/>
    <col min="4" max="4" width="36.42578125" style="1" bestFit="1" customWidth="1"/>
    <col min="5" max="5" width="16" style="1" bestFit="1" customWidth="1"/>
    <col min="6" max="6" width="11.7109375" style="3" bestFit="1" customWidth="1"/>
    <col min="7" max="7" width="4.28515625" style="3" customWidth="1"/>
    <col min="8" max="9" width="15.28515625" style="1" customWidth="1"/>
    <col min="10" max="10" width="31.140625" style="1" hidden="1" customWidth="1"/>
    <col min="11" max="11" width="0" style="1" hidden="1" customWidth="1"/>
    <col min="12" max="16384" width="13.28515625" style="1"/>
  </cols>
  <sheetData>
    <row r="1" spans="1:11" ht="26.25">
      <c r="D1" s="2" t="s">
        <v>0</v>
      </c>
      <c r="E1" s="2"/>
    </row>
    <row r="2" spans="1:11" s="3" customFormat="1" ht="21.75" thickBot="1">
      <c r="A2" s="6"/>
      <c r="B2" s="1" t="s">
        <v>1</v>
      </c>
      <c r="C2" s="1"/>
    </row>
    <row r="3" spans="1:11" ht="27" thickBot="1">
      <c r="B3" s="4" t="s">
        <v>99</v>
      </c>
      <c r="C3" s="5"/>
    </row>
    <row r="4" spans="1:11" ht="21.75" thickBot="1">
      <c r="C4" s="3"/>
      <c r="D4" s="3" t="s">
        <v>106</v>
      </c>
      <c r="E4" s="6" t="s">
        <v>81</v>
      </c>
    </row>
    <row r="5" spans="1:11" ht="21.75" thickBot="1">
      <c r="B5" s="1" t="s">
        <v>3</v>
      </c>
      <c r="C5" s="7" t="s">
        <v>64</v>
      </c>
      <c r="D5" s="63">
        <v>500</v>
      </c>
      <c r="E5" s="63">
        <v>1</v>
      </c>
    </row>
    <row r="6" spans="1:11" ht="21.75" thickBot="1">
      <c r="B6" s="64" t="s">
        <v>53</v>
      </c>
      <c r="C6" s="7" t="s">
        <v>107</v>
      </c>
      <c r="D6" s="45">
        <f>VLOOKUP(TRIM(B6),$J$8:$K$16,2,FALSE)</f>
        <v>200</v>
      </c>
      <c r="E6" s="71" t="s">
        <v>4</v>
      </c>
      <c r="F6" s="72"/>
    </row>
    <row r="7" spans="1:11" ht="21.75" thickBot="1">
      <c r="H7" s="8"/>
      <c r="I7" s="8"/>
    </row>
    <row r="8" spans="1:11" ht="30">
      <c r="A8" s="9" t="s">
        <v>5</v>
      </c>
      <c r="B8" s="60" t="s">
        <v>6</v>
      </c>
      <c r="C8" s="10" t="s">
        <v>108</v>
      </c>
      <c r="D8" s="11"/>
      <c r="E8" s="15" t="s">
        <v>8</v>
      </c>
      <c r="F8" s="15" t="s">
        <v>9</v>
      </c>
      <c r="G8" s="73" t="s">
        <v>10</v>
      </c>
      <c r="J8" s="44" t="s">
        <v>48</v>
      </c>
      <c r="K8" s="44" t="s">
        <v>49</v>
      </c>
    </row>
    <row r="9" spans="1:11" ht="42" customHeight="1">
      <c r="B9" s="15" t="b">
        <v>0</v>
      </c>
      <c r="C9" s="76">
        <f>D5</f>
        <v>500</v>
      </c>
      <c r="D9" s="15" t="s">
        <v>100</v>
      </c>
      <c r="E9" s="12" t="s">
        <v>101</v>
      </c>
      <c r="F9" s="16"/>
      <c r="G9" s="74"/>
      <c r="J9" s="1" t="s">
        <v>50</v>
      </c>
      <c r="K9" s="1">
        <v>250</v>
      </c>
    </row>
    <row r="10" spans="1:11" ht="42" customHeight="1">
      <c r="B10" s="15" t="b">
        <v>0</v>
      </c>
      <c r="C10" s="77"/>
      <c r="D10" s="15" t="s">
        <v>102</v>
      </c>
      <c r="E10" s="12" t="s">
        <v>103</v>
      </c>
      <c r="F10" s="17"/>
      <c r="G10" s="74"/>
      <c r="J10" s="1" t="s">
        <v>51</v>
      </c>
      <c r="K10" s="1">
        <v>300</v>
      </c>
    </row>
    <row r="11" spans="1:11" ht="42" customHeight="1">
      <c r="B11" s="15" t="b">
        <v>0</v>
      </c>
      <c r="C11" s="77"/>
      <c r="D11" s="15" t="s">
        <v>67</v>
      </c>
      <c r="E11" s="12" t="s">
        <v>68</v>
      </c>
      <c r="F11" s="17"/>
      <c r="G11" s="74"/>
      <c r="J11" s="1" t="s">
        <v>53</v>
      </c>
      <c r="K11" s="1">
        <v>200</v>
      </c>
    </row>
    <row r="12" spans="1:11" ht="42" customHeight="1">
      <c r="B12" s="15" t="b">
        <v>0</v>
      </c>
      <c r="C12" s="77"/>
      <c r="D12" s="15" t="s">
        <v>104</v>
      </c>
      <c r="E12" s="12" t="s">
        <v>105</v>
      </c>
      <c r="F12" s="17"/>
      <c r="G12" s="74"/>
      <c r="J12" s="1" t="s">
        <v>52</v>
      </c>
      <c r="K12" s="1">
        <v>150</v>
      </c>
    </row>
    <row r="13" spans="1:11" ht="42" customHeight="1">
      <c r="B13" s="15" t="b">
        <v>0</v>
      </c>
      <c r="C13" s="78"/>
      <c r="D13" s="15" t="s">
        <v>87</v>
      </c>
      <c r="E13" s="12" t="s">
        <v>88</v>
      </c>
      <c r="F13" s="18"/>
      <c r="G13" s="74"/>
      <c r="J13" s="1" t="s">
        <v>54</v>
      </c>
      <c r="K13" s="1">
        <v>120</v>
      </c>
    </row>
    <row r="14" spans="1:11" ht="21">
      <c r="B14" s="3" t="str">
        <f>IF(COUNTIF(B9:B13,TRUE)&gt;1,"RESET","OK")</f>
        <v>OK</v>
      </c>
      <c r="C14" s="3"/>
      <c r="D14" s="79" t="s">
        <v>12</v>
      </c>
      <c r="E14" s="80"/>
      <c r="F14" s="19">
        <f>C9
 -IF(B9,15,0)
 -IF(B10,17,0)
 -IF(B11,13,0)
 -IF(B12,13,0)
 -IF(B13,14,0)</f>
        <v>500</v>
      </c>
      <c r="G14" s="75"/>
      <c r="H14" s="1" t="s">
        <v>13</v>
      </c>
      <c r="J14" s="1" t="s">
        <v>55</v>
      </c>
      <c r="K14" s="1">
        <v>250</v>
      </c>
    </row>
    <row r="15" spans="1:11" s="27" customFormat="1" ht="21">
      <c r="A15" s="20"/>
      <c r="B15" s="21"/>
      <c r="C15" s="22"/>
      <c r="D15" s="23"/>
      <c r="E15" s="24"/>
      <c r="F15" s="25"/>
      <c r="G15" s="26"/>
      <c r="I15" s="28"/>
      <c r="J15" s="1" t="s">
        <v>56</v>
      </c>
      <c r="K15" s="1">
        <v>300</v>
      </c>
    </row>
    <row r="16" spans="1:11" ht="21">
      <c r="A16" s="9" t="s">
        <v>14</v>
      </c>
      <c r="B16" s="61" t="s">
        <v>15</v>
      </c>
      <c r="C16" s="12" t="s">
        <v>16</v>
      </c>
      <c r="D16" s="15" t="s">
        <v>17</v>
      </c>
      <c r="E16" s="12" t="s">
        <v>18</v>
      </c>
      <c r="F16" s="19">
        <f>F14+6</f>
        <v>506</v>
      </c>
      <c r="G16" s="13" t="s">
        <v>19</v>
      </c>
      <c r="H16" s="1" t="s">
        <v>13</v>
      </c>
      <c r="I16" s="8"/>
      <c r="J16" s="58" t="s">
        <v>80</v>
      </c>
      <c r="K16" s="27">
        <v>113</v>
      </c>
    </row>
    <row r="17" spans="1:9" ht="21">
      <c r="I17" s="8"/>
    </row>
    <row r="18" spans="1:9" ht="21">
      <c r="A18" s="9" t="s">
        <v>20</v>
      </c>
      <c r="B18" s="61" t="s">
        <v>21</v>
      </c>
      <c r="C18" s="81" t="s">
        <v>22</v>
      </c>
      <c r="D18" s="82"/>
      <c r="E18" s="15" t="s">
        <v>23</v>
      </c>
      <c r="F18" s="30"/>
      <c r="G18" s="12"/>
    </row>
    <row r="19" spans="1:9" ht="21">
      <c r="B19" s="51"/>
      <c r="C19" s="3"/>
      <c r="D19" s="83" t="s">
        <v>24</v>
      </c>
      <c r="E19" s="84"/>
      <c r="F19" s="19">
        <f>ROUNDUP(F16/D6,0)</f>
        <v>3</v>
      </c>
      <c r="G19" s="13" t="s">
        <v>25</v>
      </c>
      <c r="H19" s="1" t="s">
        <v>26</v>
      </c>
      <c r="I19" s="8"/>
    </row>
    <row r="20" spans="1:9" ht="21">
      <c r="B20" s="3"/>
      <c r="C20" s="3"/>
      <c r="I20" s="8"/>
    </row>
    <row r="21" spans="1:9" ht="21">
      <c r="A21" s="9" t="s">
        <v>27</v>
      </c>
      <c r="B21" s="61" t="s">
        <v>28</v>
      </c>
      <c r="C21" s="12"/>
      <c r="D21" s="15" t="s">
        <v>29</v>
      </c>
      <c r="E21" s="12" t="s">
        <v>30</v>
      </c>
      <c r="F21" s="19">
        <f>F19*E5</f>
        <v>3</v>
      </c>
      <c r="G21" s="29" t="s">
        <v>31</v>
      </c>
      <c r="H21" s="1" t="s">
        <v>26</v>
      </c>
      <c r="I21" s="8"/>
    </row>
    <row r="22" spans="1:9" ht="21.75" thickBot="1">
      <c r="B22" s="3"/>
      <c r="C22" s="31"/>
      <c r="D22" s="3"/>
      <c r="E22" s="3"/>
      <c r="G22" s="1"/>
      <c r="I22" s="8"/>
    </row>
    <row r="23" spans="1:9" ht="21.75" thickBot="1">
      <c r="A23" s="9" t="s">
        <v>32</v>
      </c>
      <c r="B23" s="59" t="s">
        <v>83</v>
      </c>
      <c r="C23" s="62">
        <v>200</v>
      </c>
      <c r="D23" s="12"/>
      <c r="E23" s="11" t="s">
        <v>8</v>
      </c>
      <c r="F23" s="16" t="s">
        <v>9</v>
      </c>
      <c r="I23" s="8"/>
    </row>
    <row r="24" spans="1:9" ht="35.25" customHeight="1">
      <c r="B24" s="69">
        <f>C23</f>
        <v>200</v>
      </c>
      <c r="D24" s="48" t="b">
        <v>0</v>
      </c>
      <c r="E24" s="32">
        <v>30</v>
      </c>
      <c r="F24" s="16"/>
      <c r="I24" s="8"/>
    </row>
    <row r="25" spans="1:9" ht="35.25" customHeight="1">
      <c r="B25" s="69"/>
      <c r="D25" s="48" t="b">
        <v>0</v>
      </c>
      <c r="E25" s="32">
        <v>20</v>
      </c>
      <c r="F25" s="17"/>
      <c r="I25" s="8"/>
    </row>
    <row r="26" spans="1:9" ht="35.25" customHeight="1">
      <c r="B26" s="70"/>
      <c r="D26" s="48" t="b">
        <v>0</v>
      </c>
      <c r="E26" s="32">
        <v>30</v>
      </c>
      <c r="F26" s="17"/>
      <c r="I26" s="8"/>
    </row>
    <row r="27" spans="1:9" ht="21">
      <c r="B27" s="29"/>
      <c r="C27" s="29"/>
      <c r="D27" s="29" t="s">
        <v>34</v>
      </c>
      <c r="E27" s="56" t="s">
        <v>92</v>
      </c>
      <c r="F27" s="33">
        <f>B24
 +IF(D24,30,0)
+IF(D25,20,0)+IF(D26,30,0)</f>
        <v>200</v>
      </c>
      <c r="G27" s="29" t="s">
        <v>35</v>
      </c>
      <c r="H27" s="1" t="s">
        <v>13</v>
      </c>
      <c r="I27" s="8"/>
    </row>
    <row r="28" spans="1:9" ht="21">
      <c r="B28" s="3"/>
      <c r="C28" s="3"/>
      <c r="D28" s="3"/>
      <c r="E28" s="3"/>
      <c r="I28" s="8"/>
    </row>
  </sheetData>
  <mergeCells count="7">
    <mergeCell ref="B24:B26"/>
    <mergeCell ref="E6:F6"/>
    <mergeCell ref="G8:G14"/>
    <mergeCell ref="C9:C13"/>
    <mergeCell ref="D14:E14"/>
    <mergeCell ref="C18:D18"/>
    <mergeCell ref="D19:E19"/>
  </mergeCells>
  <dataValidations count="1">
    <dataValidation type="list" allowBlank="1" showInputMessage="1" showErrorMessage="1" promptTitle="ชนิดผ้า" prompt="เลือกจากลูกศรด้านขวา" sqref="B6" xr:uid="{7E76974D-C9B4-4220-8AC1-CF0BFD251091}">
      <formula1>"Solar Screen 2.50 meter, Solar Screen 3.00 meter, Solar Sand 2.00 meter,Solar View 1.50 meter,Acrylic 1.20 meter, Suntex 2.50 meter, Suntex 3.00 meter,PVC HC 1.13 meter"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71" r:id="rId4" name="เกียร์ 9:1">
              <controlPr defaultSize="0" autoFill="0" autoLine="0" autoPict="0">
                <anchor moveWithCells="1">
                  <from>
                    <xdr:col>1</xdr:col>
                    <xdr:colOff>66675</xdr:colOff>
                    <xdr:row>8</xdr:row>
                    <xdr:rowOff>28575</xdr:rowOff>
                  </from>
                  <to>
                    <xdr:col>1</xdr:col>
                    <xdr:colOff>676275</xdr:colOff>
                    <xdr:row>8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2" r:id="rId5" name="เกียร์ 13:1">
              <controlPr defaultSize="0" autoFill="0" autoLine="0" autoPict="0">
                <anchor moveWithCells="1">
                  <from>
                    <xdr:col>1</xdr:col>
                    <xdr:colOff>47625</xdr:colOff>
                    <xdr:row>9</xdr:row>
                    <xdr:rowOff>47625</xdr:rowOff>
                  </from>
                  <to>
                    <xdr:col>1</xdr:col>
                    <xdr:colOff>657225</xdr:colOff>
                    <xdr:row>9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3" r:id="rId6" name="มอเตอร์Somfy / Strong up">
              <controlPr defaultSize="0" autoFill="0" autoLine="0" autoPict="0">
                <anchor moveWithCells="1">
                  <from>
                    <xdr:col>1</xdr:col>
                    <xdr:colOff>19050</xdr:colOff>
                    <xdr:row>10</xdr:row>
                    <xdr:rowOff>28575</xdr:rowOff>
                  </from>
                  <to>
                    <xdr:col>1</xdr:col>
                    <xdr:colOff>1314450</xdr:colOff>
                    <xdr:row>10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7" name="มอเตอร์ Spettmann">
              <controlPr defaultSize="0" autoFill="0" autoLine="0" autoPict="0">
                <anchor moveWithCells="1">
                  <from>
                    <xdr:col>1</xdr:col>
                    <xdr:colOff>19050</xdr:colOff>
                    <xdr:row>11</xdr:row>
                    <xdr:rowOff>9525</xdr:rowOff>
                  </from>
                  <to>
                    <xdr:col>1</xdr:col>
                    <xdr:colOff>1428750</xdr:colOff>
                    <xdr:row>11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5" r:id="rId8" name="มอเตอร์ มอเตอร์+เกียร์">
              <controlPr defaultSize="0" autoFill="0" autoLine="0" autoPict="0">
                <anchor moveWithCells="1">
                  <from>
                    <xdr:col>1</xdr:col>
                    <xdr:colOff>19050</xdr:colOff>
                    <xdr:row>12</xdr:row>
                    <xdr:rowOff>28575</xdr:rowOff>
                  </from>
                  <to>
                    <xdr:col>1</xdr:col>
                    <xdr:colOff>1781175</xdr:colOff>
                    <xdr:row>12</xdr:row>
                    <xdr:rowOff>352425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7" r:id="rId9" name="ผ้าโซล่าสกรีน บวก 50 ซม.">
              <controlPr defaultSize="0" autoFill="0" autoLine="0" autoPict="0">
                <anchor moveWithCells="1">
                  <from>
                    <xdr:col>3</xdr:col>
                    <xdr:colOff>190500</xdr:colOff>
                    <xdr:row>23</xdr:row>
                    <xdr:rowOff>47625</xdr:rowOff>
                  </from>
                  <to>
                    <xdr:col>3</xdr:col>
                    <xdr:colOff>1876425</xdr:colOff>
                    <xdr:row>23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8" r:id="rId10" name="Check Box 10">
              <controlPr defaultSize="0" autoFill="0" autoLine="0" autoPict="0">
                <anchor moveWithCells="1">
                  <from>
                    <xdr:col>3</xdr:col>
                    <xdr:colOff>190500</xdr:colOff>
                    <xdr:row>24</xdr:row>
                    <xdr:rowOff>9525</xdr:rowOff>
                  </from>
                  <to>
                    <xdr:col>3</xdr:col>
                    <xdr:colOff>1876425</xdr:colOff>
                    <xdr:row>24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9" r:id="rId11" name="Check Box 11">
              <controlPr defaultSize="0" autoFill="0" autoLine="0" autoPict="0">
                <anchor moveWithCells="1">
                  <from>
                    <xdr:col>3</xdr:col>
                    <xdr:colOff>161925</xdr:colOff>
                    <xdr:row>25</xdr:row>
                    <xdr:rowOff>38100</xdr:rowOff>
                  </from>
                  <to>
                    <xdr:col>3</xdr:col>
                    <xdr:colOff>1847850</xdr:colOff>
                    <xdr:row>25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35CC2-301F-4833-AD33-66244EBBF822}">
  <dimension ref="A1:K29"/>
  <sheetViews>
    <sheetView tabSelected="1" topLeftCell="A16" workbookViewId="0">
      <selection activeCell="L8" sqref="L8"/>
    </sheetView>
  </sheetViews>
  <sheetFormatPr defaultColWidth="13.28515625" defaultRowHeight="25.15" customHeight="1"/>
  <cols>
    <col min="1" max="1" width="8.7109375" style="14" customWidth="1"/>
    <col min="2" max="2" width="34.5703125" style="1" customWidth="1"/>
    <col min="3" max="3" width="23.42578125" style="1" customWidth="1"/>
    <col min="4" max="4" width="41.140625" style="1" customWidth="1"/>
    <col min="5" max="5" width="17.140625" style="1" customWidth="1"/>
    <col min="6" max="6" width="16.5703125" style="3" customWidth="1"/>
    <col min="7" max="7" width="4.28515625" style="3" customWidth="1"/>
    <col min="8" max="9" width="15.28515625" style="1" customWidth="1"/>
    <col min="10" max="10" width="31.140625" style="1" hidden="1" customWidth="1"/>
    <col min="11" max="11" width="0" style="1" hidden="1" customWidth="1"/>
    <col min="12" max="16384" width="13.28515625" style="1"/>
  </cols>
  <sheetData>
    <row r="1" spans="1:11" ht="26.25">
      <c r="D1" s="2" t="s">
        <v>0</v>
      </c>
      <c r="E1" s="2"/>
    </row>
    <row r="2" spans="1:11" s="3" customFormat="1" ht="21.75" thickBot="1">
      <c r="A2" s="6"/>
      <c r="B2" s="1" t="s">
        <v>1</v>
      </c>
      <c r="C2" s="1"/>
    </row>
    <row r="3" spans="1:11" ht="27" thickBot="1">
      <c r="B3" s="4" t="s">
        <v>63</v>
      </c>
      <c r="C3" s="5"/>
    </row>
    <row r="4" spans="1:11" ht="21.75" thickBot="1">
      <c r="C4" s="3"/>
      <c r="D4" s="3" t="s">
        <v>93</v>
      </c>
      <c r="E4" s="6" t="s">
        <v>81</v>
      </c>
    </row>
    <row r="5" spans="1:11" ht="21.75" thickBot="1">
      <c r="B5" s="1" t="s">
        <v>3</v>
      </c>
      <c r="C5" s="7" t="s">
        <v>94</v>
      </c>
      <c r="D5" s="63">
        <v>600</v>
      </c>
      <c r="E5" s="63">
        <v>1</v>
      </c>
    </row>
    <row r="6" spans="1:11" ht="21.75" thickBot="1">
      <c r="B6" s="64" t="s">
        <v>53</v>
      </c>
      <c r="C6" s="7" t="s">
        <v>82</v>
      </c>
      <c r="D6" s="45">
        <f>VLOOKUP(TRIM(B6),$J$8:$K$16,2,FALSE)</f>
        <v>200</v>
      </c>
      <c r="E6" s="71" t="s">
        <v>4</v>
      </c>
      <c r="F6" s="72"/>
    </row>
    <row r="7" spans="1:11" ht="21.75" thickBot="1">
      <c r="H7" s="8"/>
      <c r="I7" s="8"/>
    </row>
    <row r="8" spans="1:11" ht="30">
      <c r="A8" s="9" t="s">
        <v>5</v>
      </c>
      <c r="B8" s="49" t="s">
        <v>6</v>
      </c>
      <c r="C8" s="10" t="s">
        <v>7</v>
      </c>
      <c r="D8" s="11"/>
      <c r="E8" s="50" t="s">
        <v>8</v>
      </c>
      <c r="F8" s="50" t="s">
        <v>9</v>
      </c>
      <c r="G8" s="73" t="s">
        <v>10</v>
      </c>
      <c r="J8" s="44" t="s">
        <v>48</v>
      </c>
      <c r="K8" s="44" t="s">
        <v>49</v>
      </c>
    </row>
    <row r="9" spans="1:11" ht="21">
      <c r="B9" s="15" t="b">
        <v>0</v>
      </c>
      <c r="C9" s="76">
        <f>D5</f>
        <v>600</v>
      </c>
      <c r="D9" s="15" t="s">
        <v>65</v>
      </c>
      <c r="E9" s="12" t="s">
        <v>66</v>
      </c>
      <c r="F9" s="16"/>
      <c r="G9" s="74"/>
      <c r="J9" s="1" t="s">
        <v>50</v>
      </c>
      <c r="K9" s="1">
        <v>250</v>
      </c>
    </row>
    <row r="10" spans="1:11" ht="21">
      <c r="B10" s="15" t="b">
        <v>1</v>
      </c>
      <c r="C10" s="77"/>
      <c r="D10" s="15" t="s">
        <v>67</v>
      </c>
      <c r="E10" s="12" t="s">
        <v>68</v>
      </c>
      <c r="F10" s="17"/>
      <c r="G10" s="74"/>
      <c r="J10" s="1" t="s">
        <v>51</v>
      </c>
      <c r="K10" s="1">
        <v>300</v>
      </c>
    </row>
    <row r="11" spans="1:11" ht="33" customHeight="1">
      <c r="B11" s="15" t="b">
        <v>0</v>
      </c>
      <c r="C11" s="77"/>
      <c r="D11" s="15" t="s">
        <v>69</v>
      </c>
      <c r="E11" s="12" t="s">
        <v>70</v>
      </c>
      <c r="F11" s="17"/>
      <c r="G11" s="74"/>
      <c r="J11" s="1" t="s">
        <v>53</v>
      </c>
      <c r="K11" s="1">
        <v>200</v>
      </c>
    </row>
    <row r="12" spans="1:11" ht="37.5" customHeight="1">
      <c r="B12" s="15" t="b">
        <v>0</v>
      </c>
      <c r="C12" s="77"/>
      <c r="D12" s="15" t="s">
        <v>71</v>
      </c>
      <c r="E12" s="12" t="s">
        <v>66</v>
      </c>
      <c r="F12" s="17"/>
      <c r="G12" s="74"/>
      <c r="J12" s="1" t="s">
        <v>52</v>
      </c>
      <c r="K12" s="1">
        <v>150</v>
      </c>
    </row>
    <row r="13" spans="1:11" ht="35.25" customHeight="1">
      <c r="B13" s="15" t="b">
        <v>0</v>
      </c>
      <c r="C13" s="77"/>
      <c r="D13" s="15" t="s">
        <v>72</v>
      </c>
      <c r="E13" s="12" t="s">
        <v>73</v>
      </c>
      <c r="F13" s="17"/>
      <c r="G13" s="74"/>
      <c r="J13" s="1" t="s">
        <v>54</v>
      </c>
      <c r="K13" s="1">
        <v>120</v>
      </c>
    </row>
    <row r="14" spans="1:11" ht="29.25" customHeight="1">
      <c r="B14" s="15" t="b">
        <v>0</v>
      </c>
      <c r="C14" s="78"/>
      <c r="D14" s="15" t="s">
        <v>74</v>
      </c>
      <c r="E14" s="12" t="s">
        <v>75</v>
      </c>
      <c r="F14" s="18"/>
      <c r="G14" s="74"/>
      <c r="J14" s="1" t="s">
        <v>55</v>
      </c>
      <c r="K14" s="1">
        <v>250</v>
      </c>
    </row>
    <row r="15" spans="1:11" ht="21">
      <c r="B15" s="3" t="str">
        <f>IF(COUNTIF(B9:B14,TRUE)&gt;1,"RESET","OK")</f>
        <v>OK</v>
      </c>
      <c r="C15" s="3"/>
      <c r="D15" s="79" t="s">
        <v>12</v>
      </c>
      <c r="E15" s="80"/>
      <c r="F15" s="19">
        <f>C9
 -IF(B9,11,0)
 -IF(B10,13,0)
 -IF(B11,10,0)
 -IF(B12,11,0)
 -IF(B13,10.5,0) -IF(B14,12,0)</f>
        <v>587</v>
      </c>
      <c r="G15" s="75"/>
      <c r="H15" s="1" t="s">
        <v>13</v>
      </c>
      <c r="J15" s="1" t="s">
        <v>56</v>
      </c>
      <c r="K15" s="1">
        <v>300</v>
      </c>
    </row>
    <row r="16" spans="1:11" s="27" customFormat="1" ht="21">
      <c r="A16" s="20"/>
      <c r="B16" s="21"/>
      <c r="C16" s="22"/>
      <c r="D16" s="23"/>
      <c r="E16" s="24"/>
      <c r="F16" s="25"/>
      <c r="G16" s="26"/>
      <c r="I16" s="28"/>
      <c r="J16" s="58" t="s">
        <v>80</v>
      </c>
      <c r="K16" s="27">
        <v>113</v>
      </c>
    </row>
    <row r="17" spans="1:9" ht="21">
      <c r="A17" s="9" t="s">
        <v>14</v>
      </c>
      <c r="B17" s="29" t="s">
        <v>15</v>
      </c>
      <c r="C17" s="12" t="s">
        <v>16</v>
      </c>
      <c r="D17" s="15" t="s">
        <v>17</v>
      </c>
      <c r="E17" s="12" t="s">
        <v>18</v>
      </c>
      <c r="F17" s="19">
        <f>F15+6</f>
        <v>593</v>
      </c>
      <c r="G17" s="13" t="s">
        <v>19</v>
      </c>
      <c r="H17" s="1" t="s">
        <v>13</v>
      </c>
      <c r="I17" s="8"/>
    </row>
    <row r="18" spans="1:9" ht="21">
      <c r="I18" s="8"/>
    </row>
    <row r="19" spans="1:9" ht="21">
      <c r="A19" s="9" t="s">
        <v>20</v>
      </c>
      <c r="B19" s="29" t="s">
        <v>21</v>
      </c>
      <c r="C19" s="81" t="s">
        <v>22</v>
      </c>
      <c r="D19" s="82"/>
      <c r="E19" s="15" t="s">
        <v>23</v>
      </c>
      <c r="F19" s="30"/>
      <c r="G19" s="12"/>
    </row>
    <row r="20" spans="1:9" ht="21">
      <c r="B20" s="51"/>
      <c r="C20" s="3"/>
      <c r="D20" s="83" t="s">
        <v>24</v>
      </c>
      <c r="E20" s="84"/>
      <c r="F20" s="19">
        <f>ROUNDUP(F17/D6,0)</f>
        <v>3</v>
      </c>
      <c r="G20" s="13" t="s">
        <v>25</v>
      </c>
      <c r="H20" s="1" t="s">
        <v>26</v>
      </c>
      <c r="I20" s="8"/>
    </row>
    <row r="21" spans="1:9" ht="21">
      <c r="B21" s="3"/>
      <c r="C21" s="3"/>
      <c r="I21" s="8"/>
    </row>
    <row r="22" spans="1:9" ht="21">
      <c r="A22" s="9" t="s">
        <v>27</v>
      </c>
      <c r="B22" s="29" t="s">
        <v>28</v>
      </c>
      <c r="C22" s="12"/>
      <c r="D22" s="15" t="s">
        <v>29</v>
      </c>
      <c r="E22" s="12" t="s">
        <v>30</v>
      </c>
      <c r="F22" s="19">
        <f>F20*E5</f>
        <v>3</v>
      </c>
      <c r="G22" s="29" t="s">
        <v>31</v>
      </c>
      <c r="H22" s="1" t="s">
        <v>26</v>
      </c>
      <c r="I22" s="8"/>
    </row>
    <row r="23" spans="1:9" ht="21.75" thickBot="1">
      <c r="B23" s="3"/>
      <c r="C23" s="31"/>
      <c r="D23" s="3"/>
      <c r="E23" s="3"/>
      <c r="G23" s="1"/>
      <c r="I23" s="8"/>
    </row>
    <row r="24" spans="1:9" ht="21.75" thickBot="1">
      <c r="A24" s="9" t="s">
        <v>32</v>
      </c>
      <c r="B24" s="52" t="s">
        <v>83</v>
      </c>
      <c r="C24" s="66">
        <v>250</v>
      </c>
      <c r="D24" s="53"/>
      <c r="E24" s="54" t="s">
        <v>8</v>
      </c>
      <c r="F24" s="50" t="s">
        <v>9</v>
      </c>
      <c r="I24" s="8"/>
    </row>
    <row r="25" spans="1:9" ht="21">
      <c r="B25" s="89">
        <f>C24</f>
        <v>250</v>
      </c>
      <c r="C25" s="17"/>
      <c r="D25" s="6" t="s">
        <v>76</v>
      </c>
      <c r="E25" s="3" t="s">
        <v>77</v>
      </c>
      <c r="F25" s="19">
        <f>B25*2</f>
        <v>500</v>
      </c>
      <c r="G25" s="47" t="s">
        <v>35</v>
      </c>
      <c r="I25" s="8"/>
    </row>
    <row r="26" spans="1:9" ht="33" customHeight="1">
      <c r="B26" s="89"/>
      <c r="C26" s="55"/>
      <c r="D26" s="48" t="b">
        <v>1</v>
      </c>
      <c r="E26" s="32">
        <v>30</v>
      </c>
      <c r="F26" s="17"/>
      <c r="I26" s="8"/>
    </row>
    <row r="27" spans="1:9" ht="33" customHeight="1">
      <c r="B27" s="90"/>
      <c r="C27" s="55"/>
      <c r="D27" s="48" t="b">
        <v>0</v>
      </c>
      <c r="E27" s="32">
        <v>20</v>
      </c>
      <c r="F27" s="17"/>
      <c r="I27" s="8"/>
    </row>
    <row r="28" spans="1:9" ht="36.75" customHeight="1">
      <c r="B28" s="46"/>
      <c r="C28" s="29"/>
      <c r="D28" s="48" t="b">
        <v>0</v>
      </c>
      <c r="E28" s="32">
        <v>30</v>
      </c>
      <c r="F28" s="18"/>
      <c r="I28" s="8"/>
    </row>
    <row r="29" spans="1:9" ht="21">
      <c r="B29" s="3"/>
      <c r="C29" s="3"/>
      <c r="D29" s="29" t="s">
        <v>34</v>
      </c>
      <c r="E29" s="56" t="s">
        <v>78</v>
      </c>
      <c r="F29" s="57">
        <f>F25
 +IF(D26,30,0)
+IF(D27,20,0)+IF(D28,30,0)</f>
        <v>530</v>
      </c>
      <c r="G29" s="47" t="s">
        <v>79</v>
      </c>
      <c r="H29" s="1" t="s">
        <v>13</v>
      </c>
      <c r="I29" s="8"/>
    </row>
  </sheetData>
  <mergeCells count="7">
    <mergeCell ref="B25:B27"/>
    <mergeCell ref="E6:F6"/>
    <mergeCell ref="G8:G15"/>
    <mergeCell ref="C9:C14"/>
    <mergeCell ref="D15:E15"/>
    <mergeCell ref="C19:D19"/>
    <mergeCell ref="D20:E20"/>
  </mergeCells>
  <dataValidations count="1">
    <dataValidation type="list" allowBlank="1" showInputMessage="1" showErrorMessage="1" promptTitle="ชนิดผ้า" prompt="เลือกจากลูกศรด้านขวา" sqref="B6" xr:uid="{FA7C76C8-B4EB-436B-86EC-91A03AD72497}">
      <formula1>"Solar Screen 2.50 meter, Solar Screen 3.00 meter, Solar Sand 2.00 meter,Solar View 1.50 meter,Acrylic 1.20 meter, Suntex 2.50 meter, Suntex 3.00 meter,PVC HC 1.13 meter"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4" r:id="rId3" name="เกียร์ 9:1">
              <controlPr defaultSize="0" autoFill="0" autoLine="0" autoPict="0">
                <anchor moveWithCells="1">
                  <from>
                    <xdr:col>1</xdr:col>
                    <xdr:colOff>57150</xdr:colOff>
                    <xdr:row>8</xdr:row>
                    <xdr:rowOff>19050</xdr:rowOff>
                  </from>
                  <to>
                    <xdr:col>1</xdr:col>
                    <xdr:colOff>666750</xdr:colOff>
                    <xdr:row>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4" name="เกียร์ 13:1">
              <controlPr defaultSize="0" autoFill="0" autoLine="0" autoPict="0">
                <anchor moveWithCells="1">
                  <from>
                    <xdr:col>1</xdr:col>
                    <xdr:colOff>38100</xdr:colOff>
                    <xdr:row>9</xdr:row>
                    <xdr:rowOff>19050</xdr:rowOff>
                  </from>
                  <to>
                    <xdr:col>1</xdr:col>
                    <xdr:colOff>647700</xdr:colOff>
                    <xdr:row>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8" r:id="rId5" name="มอเตอร์Somfy / Strong up">
              <controlPr defaultSize="0" autoFill="0" autoLine="0" autoPict="0">
                <anchor moveWithCells="1">
                  <from>
                    <xdr:col>1</xdr:col>
                    <xdr:colOff>19050</xdr:colOff>
                    <xdr:row>9</xdr:row>
                    <xdr:rowOff>209550</xdr:rowOff>
                  </from>
                  <to>
                    <xdr:col>1</xdr:col>
                    <xdr:colOff>1314450</xdr:colOff>
                    <xdr:row>10</xdr:row>
                    <xdr:rowOff>333375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9" r:id="rId6" name="มอเตอร์Somfy / Strong up">
              <controlPr defaultSize="0" autoFill="0" autoLine="0" autoPict="0">
                <anchor moveWithCells="1">
                  <from>
                    <xdr:col>1</xdr:col>
                    <xdr:colOff>9525</xdr:colOff>
                    <xdr:row>10</xdr:row>
                    <xdr:rowOff>333375</xdr:rowOff>
                  </from>
                  <to>
                    <xdr:col>1</xdr:col>
                    <xdr:colOff>1304925</xdr:colOff>
                    <xdr:row>11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0" r:id="rId7" name="Check Box 10">
              <controlPr defaultSize="0" autoFill="0" autoLine="0" autoPict="0">
                <anchor moveWithCells="1">
                  <from>
                    <xdr:col>1</xdr:col>
                    <xdr:colOff>19050</xdr:colOff>
                    <xdr:row>11</xdr:row>
                    <xdr:rowOff>428625</xdr:rowOff>
                  </from>
                  <to>
                    <xdr:col>1</xdr:col>
                    <xdr:colOff>1314450</xdr:colOff>
                    <xdr:row>12</xdr:row>
                    <xdr:rowOff>342900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1" r:id="rId8" name="Check Box 11">
              <controlPr defaultSize="0" autoFill="0" autoLine="0" autoPict="0">
                <anchor moveWithCells="1">
                  <from>
                    <xdr:col>1</xdr:col>
                    <xdr:colOff>28575</xdr:colOff>
                    <xdr:row>12</xdr:row>
                    <xdr:rowOff>371475</xdr:rowOff>
                  </from>
                  <to>
                    <xdr:col>1</xdr:col>
                    <xdr:colOff>1323975</xdr:colOff>
                    <xdr:row>13</xdr:row>
                    <xdr:rowOff>314325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2" r:id="rId9" name="ผ้าโซล่าสกรีน บวก 50 ซม.">
              <controlPr defaultSize="0" autoFill="0" autoLine="0" autoPict="0">
                <anchor moveWithCells="1">
                  <from>
                    <xdr:col>3</xdr:col>
                    <xdr:colOff>190500</xdr:colOff>
                    <xdr:row>25</xdr:row>
                    <xdr:rowOff>47625</xdr:rowOff>
                  </from>
                  <to>
                    <xdr:col>3</xdr:col>
                    <xdr:colOff>1876425</xdr:colOff>
                    <xdr:row>25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4" r:id="rId10" name="ผ้าโซล่าสกรีน บวก 50 ซม.">
              <controlPr defaultSize="0" autoFill="0" autoLine="0" autoPict="0">
                <anchor moveWithCells="1">
                  <from>
                    <xdr:col>3</xdr:col>
                    <xdr:colOff>190500</xdr:colOff>
                    <xdr:row>26</xdr:row>
                    <xdr:rowOff>9525</xdr:rowOff>
                  </from>
                  <to>
                    <xdr:col>3</xdr:col>
                    <xdr:colOff>1876425</xdr:colOff>
                    <xdr:row>26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35" r:id="rId11" name="ผ้าโซล่าสกรีน บวก 50 ซม.">
              <controlPr defaultSize="0" autoFill="0" autoLine="0" autoPict="0">
                <anchor moveWithCells="1">
                  <from>
                    <xdr:col>3</xdr:col>
                    <xdr:colOff>161925</xdr:colOff>
                    <xdr:row>27</xdr:row>
                    <xdr:rowOff>38100</xdr:rowOff>
                  </from>
                  <to>
                    <xdr:col>3</xdr:col>
                    <xdr:colOff>1847850</xdr:colOff>
                    <xdr:row>27</xdr:row>
                    <xdr:rowOff>238125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CoverSheet</vt:lpstr>
      <vt:lpstr>ST2000</vt:lpstr>
      <vt:lpstr>Spettmann</vt:lpstr>
      <vt:lpstr>MA3</vt:lpstr>
      <vt:lpstr> Chill 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Pakvarin W.</dc:creator>
  <cp:lastModifiedBy>stpingpong@outlook.com</cp:lastModifiedBy>
  <dcterms:created xsi:type="dcterms:W3CDTF">2025-12-20T07:30:25Z</dcterms:created>
  <dcterms:modified xsi:type="dcterms:W3CDTF">2026-09-22T01:25:26Z</dcterms:modified>
</cp:coreProperties>
</file>